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QEL1\OneDrive\Jobs\Templates\Mechanical Calculators\"/>
    </mc:Choice>
  </mc:AlternateContent>
  <xr:revisionPtr revIDLastSave="0" documentId="13_ncr:1_{22BF3F8E-D456-496A-8A7C-5F36B00F470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uilding Information" sheetId="13" r:id="rId1"/>
    <sheet name="Domestic Water" sheetId="8" r:id="rId2"/>
    <sheet name="FU Distribution" sheetId="15" r:id="rId3"/>
    <sheet name="Riser Calculation" sheetId="16" r:id="rId4"/>
    <sheet name="Horizontal Pipes Calcs" sheetId="17" r:id="rId5"/>
    <sheet name="Pipe Drawings" sheetId="18" r:id="rId6"/>
    <sheet name="Sanitary Pipes" sheetId="19" r:id="rId7"/>
    <sheet name="Sanitary Horizontal Pipe Calcs" sheetId="20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7" i="8" l="1"/>
  <c r="F48" i="8"/>
  <c r="F49" i="8"/>
  <c r="F50" i="8"/>
  <c r="F51" i="8"/>
  <c r="F52" i="8"/>
  <c r="F53" i="8"/>
  <c r="F54" i="8"/>
  <c r="F55" i="8"/>
  <c r="F46" i="8"/>
  <c r="D47" i="8"/>
  <c r="D48" i="8"/>
  <c r="D49" i="8"/>
  <c r="D50" i="8"/>
  <c r="D51" i="8"/>
  <c r="D52" i="8"/>
  <c r="D53" i="8"/>
  <c r="D54" i="8"/>
  <c r="D55" i="8"/>
  <c r="D46" i="8"/>
  <c r="D40" i="8"/>
  <c r="D41" i="8"/>
  <c r="D42" i="8"/>
  <c r="D43" i="8"/>
  <c r="F40" i="8"/>
  <c r="F41" i="8"/>
  <c r="F42" i="8"/>
  <c r="F43" i="8"/>
  <c r="F39" i="8"/>
  <c r="D39" i="8"/>
  <c r="W18" i="17"/>
  <c r="W19" i="17"/>
  <c r="W20" i="17"/>
  <c r="W21" i="17"/>
  <c r="W22" i="17"/>
  <c r="W23" i="17"/>
  <c r="W24" i="17"/>
  <c r="W25" i="17"/>
  <c r="W26" i="17"/>
  <c r="W27" i="17"/>
  <c r="W28" i="17"/>
  <c r="W29" i="17"/>
  <c r="W30" i="17"/>
  <c r="W31" i="17"/>
  <c r="W17" i="17"/>
  <c r="S22" i="20"/>
  <c r="S23" i="20"/>
  <c r="S24" i="20"/>
  <c r="S25" i="20"/>
  <c r="S26" i="20"/>
  <c r="S27" i="20"/>
  <c r="S28" i="20"/>
  <c r="S29" i="20"/>
  <c r="S30" i="20"/>
  <c r="S31" i="20"/>
  <c r="S32" i="20"/>
  <c r="S33" i="20"/>
  <c r="S34" i="20"/>
  <c r="S35" i="20"/>
  <c r="S36" i="20"/>
  <c r="F23" i="20"/>
  <c r="H23" i="20"/>
  <c r="I23" i="20"/>
  <c r="J23" i="20"/>
  <c r="K23" i="20"/>
  <c r="L23" i="20"/>
  <c r="M23" i="20"/>
  <c r="N23" i="20"/>
  <c r="O23" i="20"/>
  <c r="P23" i="20"/>
  <c r="Q23" i="20"/>
  <c r="R23" i="20"/>
  <c r="H24" i="20"/>
  <c r="I24" i="20"/>
  <c r="J24" i="20"/>
  <c r="K24" i="20"/>
  <c r="L24" i="20"/>
  <c r="M24" i="20"/>
  <c r="N24" i="20"/>
  <c r="O24" i="20"/>
  <c r="P24" i="20"/>
  <c r="Q24" i="20"/>
  <c r="R24" i="20"/>
  <c r="F25" i="20"/>
  <c r="H25" i="20"/>
  <c r="I25" i="20"/>
  <c r="J25" i="20"/>
  <c r="K25" i="20"/>
  <c r="L25" i="20"/>
  <c r="M25" i="20"/>
  <c r="N25" i="20"/>
  <c r="O25" i="20"/>
  <c r="P25" i="20"/>
  <c r="Q25" i="20"/>
  <c r="R25" i="20"/>
  <c r="K26" i="20"/>
  <c r="L26" i="20"/>
  <c r="M26" i="20"/>
  <c r="N26" i="20"/>
  <c r="O26" i="20"/>
  <c r="P26" i="20"/>
  <c r="Q26" i="20"/>
  <c r="R26" i="20"/>
  <c r="F27" i="20"/>
  <c r="J27" i="20"/>
  <c r="N27" i="20"/>
  <c r="O27" i="20"/>
  <c r="P27" i="20"/>
  <c r="Q27" i="20"/>
  <c r="R27" i="20"/>
  <c r="H28" i="20"/>
  <c r="I28" i="20"/>
  <c r="J28" i="20"/>
  <c r="K28" i="20"/>
  <c r="L28" i="20"/>
  <c r="M28" i="20"/>
  <c r="N28" i="20"/>
  <c r="O28" i="20"/>
  <c r="P28" i="20"/>
  <c r="Q28" i="20"/>
  <c r="R28" i="20"/>
  <c r="F29" i="20"/>
  <c r="J29" i="20"/>
  <c r="N29" i="20"/>
  <c r="P29" i="20"/>
  <c r="Q29" i="20"/>
  <c r="R29" i="20"/>
  <c r="P30" i="20"/>
  <c r="Q30" i="20"/>
  <c r="R30" i="20"/>
  <c r="E31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E32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E33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E34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E35" i="20"/>
  <c r="F35" i="20"/>
  <c r="G35" i="20"/>
  <c r="H35" i="20"/>
  <c r="I35" i="20"/>
  <c r="J35" i="20"/>
  <c r="K35" i="20"/>
  <c r="L35" i="20"/>
  <c r="M35" i="20"/>
  <c r="N35" i="20"/>
  <c r="O35" i="20"/>
  <c r="P35" i="20"/>
  <c r="Q35" i="20"/>
  <c r="R35" i="20"/>
  <c r="E36" i="20"/>
  <c r="F36" i="20"/>
  <c r="G36" i="20"/>
  <c r="H36" i="20"/>
  <c r="I36" i="20"/>
  <c r="J36" i="20"/>
  <c r="K36" i="20"/>
  <c r="L36" i="20"/>
  <c r="M36" i="20"/>
  <c r="N36" i="20"/>
  <c r="O36" i="20"/>
  <c r="P36" i="20"/>
  <c r="Q36" i="20"/>
  <c r="R36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E22" i="20"/>
  <c r="A15" i="20"/>
  <c r="A14" i="20"/>
  <c r="A13" i="20"/>
  <c r="A12" i="20"/>
  <c r="G28" i="20" s="1"/>
  <c r="A11" i="20"/>
  <c r="O30" i="20" s="1"/>
  <c r="A10" i="20"/>
  <c r="M27" i="20" s="1"/>
  <c r="A9" i="20"/>
  <c r="G25" i="20" s="1"/>
  <c r="A8" i="20"/>
  <c r="L30" i="20" s="1"/>
  <c r="A7" i="20"/>
  <c r="K30" i="20" s="1"/>
  <c r="A6" i="20"/>
  <c r="I26" i="20" s="1"/>
  <c r="A5" i="20"/>
  <c r="I27" i="20" s="1"/>
  <c r="A4" i="20"/>
  <c r="G24" i="20" s="1"/>
  <c r="A3" i="20"/>
  <c r="G26" i="20" s="1"/>
  <c r="A2" i="20"/>
  <c r="E25" i="20" s="1"/>
  <c r="A1" i="20"/>
  <c r="E23" i="20" s="1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BV37" i="19"/>
  <c r="AD37" i="19"/>
  <c r="AF37" i="19"/>
  <c r="AE37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BV35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BV30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BV31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BV32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BV33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BV34" i="19"/>
  <c r="BT25" i="19"/>
  <c r="BU25" i="19"/>
  <c r="BV25" i="19"/>
  <c r="BT26" i="19"/>
  <c r="BU26" i="19"/>
  <c r="BV26" i="19"/>
  <c r="BT27" i="19"/>
  <c r="BU27" i="19"/>
  <c r="BV27" i="19"/>
  <c r="BT28" i="19"/>
  <c r="BU28" i="19"/>
  <c r="BV28" i="19"/>
  <c r="BT29" i="19"/>
  <c r="BU29" i="19"/>
  <c r="BV29" i="19"/>
  <c r="BV24" i="19"/>
  <c r="BU24" i="19"/>
  <c r="BT24" i="19"/>
  <c r="D56" i="8" l="1"/>
  <c r="F56" i="8"/>
  <c r="F68" i="8" s="1"/>
  <c r="F70" i="8" s="1"/>
  <c r="F71" i="8" s="1"/>
  <c r="F72" i="8" s="1"/>
  <c r="D44" i="8"/>
  <c r="F44" i="8"/>
  <c r="H30" i="20"/>
  <c r="H26" i="20"/>
  <c r="N30" i="20"/>
  <c r="J30" i="20"/>
  <c r="F30" i="20"/>
  <c r="L29" i="20"/>
  <c r="H29" i="20"/>
  <c r="F28" i="20"/>
  <c r="L27" i="20"/>
  <c r="H27" i="20"/>
  <c r="J26" i="20"/>
  <c r="F26" i="20"/>
  <c r="W8" i="20" s="1"/>
  <c r="X8" i="20" s="1"/>
  <c r="Y8" i="20" s="1"/>
  <c r="F24" i="20"/>
  <c r="M30" i="20"/>
  <c r="I30" i="20"/>
  <c r="E30" i="20"/>
  <c r="W12" i="20" s="1"/>
  <c r="X12" i="20" s="1"/>
  <c r="Y12" i="20" s="1"/>
  <c r="O29" i="20"/>
  <c r="K29" i="20"/>
  <c r="G29" i="20"/>
  <c r="E28" i="20"/>
  <c r="W10" i="20" s="1"/>
  <c r="X10" i="20" s="1"/>
  <c r="Y10" i="20" s="1"/>
  <c r="K27" i="20"/>
  <c r="G27" i="20"/>
  <c r="E26" i="20"/>
  <c r="E24" i="20"/>
  <c r="G23" i="20"/>
  <c r="F22" i="20"/>
  <c r="G30" i="20"/>
  <c r="M29" i="20"/>
  <c r="I29" i="20"/>
  <c r="E29" i="20"/>
  <c r="E27" i="20"/>
  <c r="W18" i="20"/>
  <c r="X18" i="20" s="1"/>
  <c r="Y18" i="20" s="1"/>
  <c r="W14" i="20"/>
  <c r="X14" i="20" s="1"/>
  <c r="Y14" i="20" s="1"/>
  <c r="W6" i="20"/>
  <c r="X6" i="20" s="1"/>
  <c r="Y6" i="20" s="1"/>
  <c r="W17" i="20"/>
  <c r="X17" i="20" s="1"/>
  <c r="Y17" i="20" s="1"/>
  <c r="W15" i="20"/>
  <c r="W13" i="20"/>
  <c r="X13" i="20" s="1"/>
  <c r="Y13" i="20" s="1"/>
  <c r="W11" i="20"/>
  <c r="X11" i="20" s="1"/>
  <c r="Y11" i="20" s="1"/>
  <c r="W9" i="20"/>
  <c r="X9" i="20" s="1"/>
  <c r="Y9" i="20" s="1"/>
  <c r="W7" i="20"/>
  <c r="W5" i="20"/>
  <c r="X5" i="20" s="1"/>
  <c r="Y5" i="20" s="1"/>
  <c r="W16" i="20"/>
  <c r="X16" i="20" s="1"/>
  <c r="Y16" i="20" s="1"/>
  <c r="X7" i="20"/>
  <c r="Y7" i="20" s="1"/>
  <c r="W4" i="20"/>
  <c r="X4" i="20" s="1"/>
  <c r="Y4" i="20" s="1"/>
  <c r="X15" i="20"/>
  <c r="Y15" i="20" s="1"/>
  <c r="BS25" i="19"/>
  <c r="BS26" i="19"/>
  <c r="BS27" i="19"/>
  <c r="BS28" i="19"/>
  <c r="BS29" i="19"/>
  <c r="BR25" i="19"/>
  <c r="BR26" i="19"/>
  <c r="BR27" i="19"/>
  <c r="BR28" i="19"/>
  <c r="BR29" i="19"/>
  <c r="BQ25" i="19"/>
  <c r="BQ26" i="19"/>
  <c r="BQ27" i="19"/>
  <c r="BQ28" i="19"/>
  <c r="BQ29" i="19"/>
  <c r="BP25" i="19"/>
  <c r="BP26" i="19"/>
  <c r="BP27" i="19"/>
  <c r="BP28" i="19"/>
  <c r="BP29" i="19"/>
  <c r="BO25" i="19"/>
  <c r="BO26" i="19"/>
  <c r="BO27" i="19"/>
  <c r="BO28" i="19"/>
  <c r="BO29" i="19"/>
  <c r="BN29" i="19"/>
  <c r="BN25" i="19"/>
  <c r="BN26" i="19"/>
  <c r="BN27" i="19"/>
  <c r="BN28" i="19"/>
  <c r="BM25" i="19"/>
  <c r="BM26" i="19"/>
  <c r="BM27" i="19"/>
  <c r="BM28" i="19"/>
  <c r="BM29" i="19"/>
  <c r="BL25" i="19"/>
  <c r="BL26" i="19"/>
  <c r="BL27" i="19"/>
  <c r="BL28" i="19"/>
  <c r="BL29" i="19"/>
  <c r="BK25" i="19"/>
  <c r="BK26" i="19"/>
  <c r="BK27" i="19"/>
  <c r="BK28" i="19"/>
  <c r="BK29" i="19"/>
  <c r="BJ25" i="19"/>
  <c r="BJ26" i="19"/>
  <c r="BJ27" i="19"/>
  <c r="BJ28" i="19"/>
  <c r="BJ29" i="19"/>
  <c r="BI25" i="19"/>
  <c r="BI26" i="19"/>
  <c r="BI27" i="19"/>
  <c r="BI28" i="19"/>
  <c r="BI29" i="19"/>
  <c r="BH25" i="19"/>
  <c r="BH26" i="19"/>
  <c r="BH27" i="19"/>
  <c r="BH28" i="19"/>
  <c r="BH29" i="19"/>
  <c r="BG25" i="19"/>
  <c r="BG26" i="19"/>
  <c r="BG27" i="19"/>
  <c r="BG28" i="19"/>
  <c r="BG29" i="19"/>
  <c r="BF25" i="19"/>
  <c r="BF26" i="19"/>
  <c r="BF27" i="19"/>
  <c r="BF28" i="19"/>
  <c r="BF29" i="19"/>
  <c r="BE25" i="19"/>
  <c r="BE26" i="19"/>
  <c r="BE27" i="19"/>
  <c r="BE28" i="19"/>
  <c r="BE29" i="19"/>
  <c r="BD25" i="19"/>
  <c r="BD26" i="19"/>
  <c r="BD27" i="19"/>
  <c r="BD28" i="19"/>
  <c r="BD29" i="19"/>
  <c r="BC25" i="19"/>
  <c r="BC26" i="19"/>
  <c r="BC27" i="19"/>
  <c r="BC28" i="19"/>
  <c r="BC29" i="19"/>
  <c r="BB25" i="19"/>
  <c r="BB26" i="19"/>
  <c r="BB27" i="19"/>
  <c r="BB28" i="19"/>
  <c r="BB29" i="19"/>
  <c r="BA25" i="19"/>
  <c r="BA26" i="19"/>
  <c r="BA27" i="19"/>
  <c r="BA28" i="19"/>
  <c r="BA29" i="19"/>
  <c r="AZ25" i="19"/>
  <c r="AZ26" i="19"/>
  <c r="AZ27" i="19"/>
  <c r="AZ28" i="19"/>
  <c r="AZ29" i="19"/>
  <c r="AY25" i="19"/>
  <c r="AY26" i="19"/>
  <c r="AY27" i="19"/>
  <c r="AY28" i="19"/>
  <c r="AY29" i="19"/>
  <c r="AX25" i="19"/>
  <c r="AX26" i="19"/>
  <c r="AX27" i="19"/>
  <c r="AX28" i="19"/>
  <c r="AX29" i="19"/>
  <c r="AW25" i="19"/>
  <c r="AW26" i="19"/>
  <c r="AW27" i="19"/>
  <c r="AW28" i="19"/>
  <c r="AW29" i="19"/>
  <c r="AV25" i="19"/>
  <c r="AV26" i="19"/>
  <c r="AV27" i="19"/>
  <c r="AV28" i="19"/>
  <c r="AV29" i="19"/>
  <c r="AU25" i="19"/>
  <c r="AU26" i="19"/>
  <c r="AU27" i="19"/>
  <c r="AU28" i="19"/>
  <c r="AU29" i="19"/>
  <c r="AT25" i="19"/>
  <c r="AT26" i="19"/>
  <c r="AT27" i="19"/>
  <c r="AT28" i="19"/>
  <c r="AT29" i="19"/>
  <c r="AS25" i="19"/>
  <c r="AS26" i="19"/>
  <c r="AS27" i="19"/>
  <c r="AS28" i="19"/>
  <c r="AS29" i="19"/>
  <c r="AR25" i="19"/>
  <c r="AR26" i="19"/>
  <c r="AR27" i="19"/>
  <c r="AR28" i="19"/>
  <c r="AR29" i="19"/>
  <c r="AQ25" i="19"/>
  <c r="AQ26" i="19"/>
  <c r="AQ27" i="19"/>
  <c r="AQ28" i="19"/>
  <c r="AQ29" i="19"/>
  <c r="AP25" i="19"/>
  <c r="AP26" i="19"/>
  <c r="AP27" i="19"/>
  <c r="AP28" i="19"/>
  <c r="AP29" i="19"/>
  <c r="AO25" i="19"/>
  <c r="AO26" i="19"/>
  <c r="AO27" i="19"/>
  <c r="AO28" i="19"/>
  <c r="AO29" i="19"/>
  <c r="AN25" i="19"/>
  <c r="AN26" i="19"/>
  <c r="AN27" i="19"/>
  <c r="AN28" i="19"/>
  <c r="AN29" i="19"/>
  <c r="AM25" i="19"/>
  <c r="AM26" i="19"/>
  <c r="AM27" i="19"/>
  <c r="AM28" i="19"/>
  <c r="AM29" i="19"/>
  <c r="BS24" i="19"/>
  <c r="BR24" i="19"/>
  <c r="BQ24" i="19"/>
  <c r="BP24" i="19"/>
  <c r="BO24" i="19"/>
  <c r="BN24" i="19"/>
  <c r="BM24" i="19"/>
  <c r="BL24" i="19"/>
  <c r="BK24" i="19"/>
  <c r="BJ24" i="19"/>
  <c r="BI24" i="19"/>
  <c r="BH24" i="19"/>
  <c r="BG24" i="19"/>
  <c r="BF24" i="19"/>
  <c r="BE24" i="19"/>
  <c r="BD24" i="19"/>
  <c r="BC24" i="19"/>
  <c r="BB24" i="19"/>
  <c r="BA24" i="19"/>
  <c r="AZ24" i="19"/>
  <c r="AY24" i="19"/>
  <c r="AX24" i="19"/>
  <c r="AW24" i="19"/>
  <c r="AV24" i="19"/>
  <c r="AU24" i="19"/>
  <c r="AT24" i="19"/>
  <c r="AS24" i="19"/>
  <c r="AR24" i="19"/>
  <c r="AQ24" i="19"/>
  <c r="AP24" i="19"/>
  <c r="AO24" i="19"/>
  <c r="AN24" i="19"/>
  <c r="AM24" i="19"/>
  <c r="AK29" i="19"/>
  <c r="AK25" i="19"/>
  <c r="AK26" i="19"/>
  <c r="AK27" i="19"/>
  <c r="AK28" i="19"/>
  <c r="AL25" i="19"/>
  <c r="AL26" i="19"/>
  <c r="AL27" i="19"/>
  <c r="AL28" i="19"/>
  <c r="AL29" i="19"/>
  <c r="AL24" i="19"/>
  <c r="AK24" i="19"/>
  <c r="AJ25" i="19"/>
  <c r="AJ26" i="19"/>
  <c r="AJ27" i="19"/>
  <c r="AJ28" i="19"/>
  <c r="AJ29" i="19"/>
  <c r="AJ24" i="19"/>
  <c r="AI25" i="19"/>
  <c r="AI26" i="19"/>
  <c r="AI27" i="19"/>
  <c r="AI28" i="19"/>
  <c r="AI29" i="19"/>
  <c r="AI24" i="19"/>
  <c r="AH25" i="19"/>
  <c r="AH26" i="19"/>
  <c r="AH27" i="19"/>
  <c r="AH28" i="19"/>
  <c r="AH29" i="19"/>
  <c r="AH24" i="19"/>
  <c r="AG25" i="19"/>
  <c r="AG26" i="19"/>
  <c r="AG27" i="19"/>
  <c r="AG28" i="19"/>
  <c r="AG29" i="19"/>
  <c r="AG24" i="19"/>
  <c r="AF24" i="19"/>
  <c r="AE24" i="19"/>
  <c r="AF25" i="19"/>
  <c r="AF26" i="19"/>
  <c r="AF27" i="19"/>
  <c r="AF28" i="19"/>
  <c r="AF29" i="19"/>
  <c r="AD24" i="19"/>
  <c r="AE25" i="19"/>
  <c r="AE26" i="19"/>
  <c r="AE27" i="19"/>
  <c r="AE28" i="19"/>
  <c r="AE29" i="19"/>
  <c r="AD25" i="19"/>
  <c r="AD26" i="19"/>
  <c r="AD27" i="19"/>
  <c r="AD28" i="19"/>
  <c r="AD29" i="19"/>
  <c r="L15" i="19"/>
  <c r="O15" i="19"/>
  <c r="R15" i="19"/>
  <c r="U15" i="19"/>
  <c r="I15" i="19"/>
  <c r="U14" i="19"/>
  <c r="R14" i="19"/>
  <c r="O14" i="19"/>
  <c r="L14" i="19"/>
  <c r="I14" i="19"/>
  <c r="A6" i="19"/>
  <c r="A5" i="19"/>
  <c r="A4" i="19"/>
  <c r="A3" i="19"/>
  <c r="A2" i="19"/>
  <c r="A1" i="19"/>
  <c r="S36" i="17"/>
  <c r="S37" i="17"/>
  <c r="S38" i="17"/>
  <c r="S39" i="17"/>
  <c r="S40" i="17"/>
  <c r="S41" i="17"/>
  <c r="S42" i="17"/>
  <c r="S43" i="17"/>
  <c r="S44" i="17"/>
  <c r="S45" i="17"/>
  <c r="S46" i="17"/>
  <c r="S47" i="17"/>
  <c r="S48" i="17"/>
  <c r="S49" i="17"/>
  <c r="S35" i="17"/>
  <c r="R36" i="17"/>
  <c r="R37" i="17"/>
  <c r="R38" i="17"/>
  <c r="R39" i="17"/>
  <c r="R40" i="17"/>
  <c r="R41" i="17"/>
  <c r="R42" i="17"/>
  <c r="R43" i="17"/>
  <c r="R44" i="17"/>
  <c r="R45" i="17"/>
  <c r="R46" i="17"/>
  <c r="R47" i="17"/>
  <c r="R48" i="17"/>
  <c r="R49" i="17"/>
  <c r="R35" i="17"/>
  <c r="N69" i="17"/>
  <c r="O69" i="17"/>
  <c r="P69" i="17"/>
  <c r="Q69" i="17"/>
  <c r="R69" i="17"/>
  <c r="M70" i="17"/>
  <c r="N70" i="17"/>
  <c r="O70" i="17"/>
  <c r="P70" i="17"/>
  <c r="Q70" i="17"/>
  <c r="R70" i="17"/>
  <c r="I71" i="17"/>
  <c r="J71" i="17"/>
  <c r="K71" i="17"/>
  <c r="L71" i="17"/>
  <c r="M71" i="17"/>
  <c r="N71" i="17"/>
  <c r="O71" i="17"/>
  <c r="P71" i="17"/>
  <c r="Q71" i="17"/>
  <c r="R71" i="17"/>
  <c r="H72" i="17"/>
  <c r="I72" i="17"/>
  <c r="J72" i="17"/>
  <c r="K72" i="17"/>
  <c r="L72" i="17"/>
  <c r="M72" i="17"/>
  <c r="N72" i="17"/>
  <c r="O72" i="17"/>
  <c r="P72" i="17"/>
  <c r="Q72" i="17"/>
  <c r="R72" i="17"/>
  <c r="J73" i="17"/>
  <c r="K73" i="17"/>
  <c r="L73" i="17"/>
  <c r="M73" i="17"/>
  <c r="N73" i="17"/>
  <c r="O73" i="17"/>
  <c r="P73" i="17"/>
  <c r="Q73" i="17"/>
  <c r="R73" i="17"/>
  <c r="I74" i="17"/>
  <c r="J74" i="17"/>
  <c r="K74" i="17"/>
  <c r="L74" i="17"/>
  <c r="M74" i="17"/>
  <c r="N74" i="17"/>
  <c r="O74" i="17"/>
  <c r="P74" i="17"/>
  <c r="Q74" i="17"/>
  <c r="R74" i="17"/>
  <c r="H75" i="17"/>
  <c r="I75" i="17"/>
  <c r="J75" i="17"/>
  <c r="K75" i="17"/>
  <c r="L75" i="17"/>
  <c r="M75" i="17"/>
  <c r="N75" i="17"/>
  <c r="O75" i="17"/>
  <c r="P75" i="17"/>
  <c r="Q75" i="17"/>
  <c r="R75" i="17"/>
  <c r="G76" i="17"/>
  <c r="H76" i="17"/>
  <c r="I76" i="17"/>
  <c r="J76" i="17"/>
  <c r="K76" i="17"/>
  <c r="L76" i="17"/>
  <c r="M76" i="17"/>
  <c r="N76" i="17"/>
  <c r="O76" i="17"/>
  <c r="P76" i="17"/>
  <c r="Q76" i="17"/>
  <c r="R76" i="17"/>
  <c r="G77" i="17"/>
  <c r="H77" i="17"/>
  <c r="I77" i="17"/>
  <c r="J77" i="17"/>
  <c r="K77" i="17"/>
  <c r="L77" i="17"/>
  <c r="M77" i="17"/>
  <c r="N77" i="17"/>
  <c r="O77" i="17"/>
  <c r="P77" i="17"/>
  <c r="Q77" i="17"/>
  <c r="R77" i="17"/>
  <c r="G78" i="17"/>
  <c r="H78" i="17"/>
  <c r="I78" i="17"/>
  <c r="J78" i="17"/>
  <c r="K78" i="17"/>
  <c r="L78" i="17"/>
  <c r="M78" i="17"/>
  <c r="N78" i="17"/>
  <c r="O78" i="17"/>
  <c r="P78" i="17"/>
  <c r="Q78" i="17"/>
  <c r="R78" i="17"/>
  <c r="G79" i="17"/>
  <c r="H79" i="17"/>
  <c r="I79" i="17"/>
  <c r="J79" i="17"/>
  <c r="K79" i="17"/>
  <c r="L79" i="17"/>
  <c r="M79" i="17"/>
  <c r="N79" i="17"/>
  <c r="O79" i="17"/>
  <c r="P79" i="17"/>
  <c r="Q79" i="17"/>
  <c r="R79" i="17"/>
  <c r="G80" i="17"/>
  <c r="H80" i="17"/>
  <c r="I80" i="17"/>
  <c r="J80" i="17"/>
  <c r="K80" i="17"/>
  <c r="L80" i="17"/>
  <c r="M80" i="17"/>
  <c r="N80" i="17"/>
  <c r="O80" i="17"/>
  <c r="P80" i="17"/>
  <c r="Q80" i="17"/>
  <c r="R80" i="17"/>
  <c r="G81" i="17"/>
  <c r="H81" i="17"/>
  <c r="I81" i="17"/>
  <c r="J81" i="17"/>
  <c r="K81" i="17"/>
  <c r="L81" i="17"/>
  <c r="M81" i="17"/>
  <c r="N81" i="17"/>
  <c r="O81" i="17"/>
  <c r="P81" i="17"/>
  <c r="Q81" i="17"/>
  <c r="R81" i="17"/>
  <c r="G82" i="17"/>
  <c r="H82" i="17"/>
  <c r="I82" i="17"/>
  <c r="J82" i="17"/>
  <c r="K82" i="17"/>
  <c r="L82" i="17"/>
  <c r="M82" i="17"/>
  <c r="N82" i="17"/>
  <c r="O82" i="17"/>
  <c r="P82" i="17"/>
  <c r="Q82" i="17"/>
  <c r="R82" i="17"/>
  <c r="G83" i="17"/>
  <c r="H83" i="17"/>
  <c r="I83" i="17"/>
  <c r="J83" i="17"/>
  <c r="K83" i="17"/>
  <c r="L83" i="17"/>
  <c r="M83" i="17"/>
  <c r="N83" i="17"/>
  <c r="O83" i="17"/>
  <c r="P83" i="17"/>
  <c r="Q83" i="17"/>
  <c r="R83" i="17"/>
  <c r="F76" i="17"/>
  <c r="F77" i="17"/>
  <c r="F78" i="17"/>
  <c r="F79" i="17"/>
  <c r="F80" i="17"/>
  <c r="F81" i="17"/>
  <c r="F82" i="17"/>
  <c r="F83" i="17"/>
  <c r="K36" i="17"/>
  <c r="L36" i="17"/>
  <c r="M36" i="17"/>
  <c r="N36" i="17"/>
  <c r="O36" i="17"/>
  <c r="P36" i="17"/>
  <c r="Q36" i="17"/>
  <c r="J37" i="17"/>
  <c r="K37" i="17"/>
  <c r="L37" i="17"/>
  <c r="M37" i="17"/>
  <c r="N37" i="17"/>
  <c r="O37" i="17"/>
  <c r="P37" i="17"/>
  <c r="Q37" i="17"/>
  <c r="I38" i="17"/>
  <c r="J38" i="17"/>
  <c r="K38" i="17"/>
  <c r="L38" i="17"/>
  <c r="M38" i="17"/>
  <c r="N38" i="17"/>
  <c r="O38" i="17"/>
  <c r="P38" i="17"/>
  <c r="Q38" i="17"/>
  <c r="H39" i="17"/>
  <c r="I39" i="17"/>
  <c r="J39" i="17"/>
  <c r="K39" i="17"/>
  <c r="L39" i="17"/>
  <c r="M39" i="17"/>
  <c r="N39" i="17"/>
  <c r="O39" i="17"/>
  <c r="P39" i="17"/>
  <c r="Q39" i="17"/>
  <c r="I40" i="17"/>
  <c r="J40" i="17"/>
  <c r="K40" i="17"/>
  <c r="L40" i="17"/>
  <c r="M40" i="17"/>
  <c r="N40" i="17"/>
  <c r="O40" i="17"/>
  <c r="P40" i="17"/>
  <c r="Q40" i="17"/>
  <c r="H41" i="17"/>
  <c r="I41" i="17"/>
  <c r="J41" i="17"/>
  <c r="K41" i="17"/>
  <c r="L41" i="17"/>
  <c r="M41" i="17"/>
  <c r="N41" i="17"/>
  <c r="O41" i="17"/>
  <c r="P41" i="17"/>
  <c r="Q41" i="17"/>
  <c r="F42" i="17"/>
  <c r="G42" i="17"/>
  <c r="H42" i="17"/>
  <c r="I42" i="17"/>
  <c r="J42" i="17"/>
  <c r="K42" i="17"/>
  <c r="L42" i="17"/>
  <c r="M42" i="17"/>
  <c r="N42" i="17"/>
  <c r="O42" i="17"/>
  <c r="P42" i="17"/>
  <c r="Q42" i="17"/>
  <c r="F43" i="17"/>
  <c r="G43" i="17"/>
  <c r="H43" i="17"/>
  <c r="I43" i="17"/>
  <c r="J43" i="17"/>
  <c r="K43" i="17"/>
  <c r="L43" i="17"/>
  <c r="M43" i="17"/>
  <c r="N43" i="17"/>
  <c r="O43" i="17"/>
  <c r="P43" i="17"/>
  <c r="Q43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F45" i="17"/>
  <c r="G45" i="17"/>
  <c r="H45" i="17"/>
  <c r="I45" i="17"/>
  <c r="J45" i="17"/>
  <c r="K45" i="17"/>
  <c r="L45" i="17"/>
  <c r="M45" i="17"/>
  <c r="N45" i="17"/>
  <c r="O45" i="17"/>
  <c r="P45" i="17"/>
  <c r="Q45" i="17"/>
  <c r="F46" i="17"/>
  <c r="G46" i="17"/>
  <c r="H46" i="17"/>
  <c r="I46" i="17"/>
  <c r="J46" i="17"/>
  <c r="K46" i="17"/>
  <c r="L46" i="17"/>
  <c r="M46" i="17"/>
  <c r="N46" i="17"/>
  <c r="O46" i="17"/>
  <c r="P46" i="17"/>
  <c r="Q46" i="17"/>
  <c r="F47" i="17"/>
  <c r="G47" i="17"/>
  <c r="H47" i="17"/>
  <c r="I47" i="17"/>
  <c r="J47" i="17"/>
  <c r="K47" i="17"/>
  <c r="L47" i="17"/>
  <c r="M47" i="17"/>
  <c r="N47" i="17"/>
  <c r="O47" i="17"/>
  <c r="P47" i="17"/>
  <c r="Q47" i="17"/>
  <c r="F48" i="17"/>
  <c r="G48" i="17"/>
  <c r="H48" i="17"/>
  <c r="I48" i="17"/>
  <c r="J48" i="17"/>
  <c r="K48" i="17"/>
  <c r="L48" i="17"/>
  <c r="M48" i="17"/>
  <c r="N48" i="17"/>
  <c r="O48" i="17"/>
  <c r="P48" i="17"/>
  <c r="Q48" i="17"/>
  <c r="F49" i="17"/>
  <c r="G49" i="17"/>
  <c r="H49" i="17"/>
  <c r="I49" i="17"/>
  <c r="J49" i="17"/>
  <c r="K49" i="17"/>
  <c r="L49" i="17"/>
  <c r="M49" i="17"/>
  <c r="N49" i="17"/>
  <c r="O49" i="17"/>
  <c r="P49" i="17"/>
  <c r="Q49" i="17"/>
  <c r="N35" i="17"/>
  <c r="O35" i="17"/>
  <c r="P35" i="17"/>
  <c r="Q35" i="17"/>
  <c r="BO68" i="15"/>
  <c r="BP68" i="15"/>
  <c r="BQ68" i="15"/>
  <c r="BO69" i="15"/>
  <c r="BP69" i="15"/>
  <c r="BQ69" i="15"/>
  <c r="BO70" i="15"/>
  <c r="BP70" i="15"/>
  <c r="BQ70" i="15"/>
  <c r="BO71" i="15"/>
  <c r="BP71" i="15"/>
  <c r="BQ71" i="15"/>
  <c r="BO72" i="15"/>
  <c r="BP72" i="15"/>
  <c r="BQ72" i="15"/>
  <c r="BO73" i="15"/>
  <c r="BP73" i="15"/>
  <c r="BQ73" i="15"/>
  <c r="BO74" i="15"/>
  <c r="BP74" i="15"/>
  <c r="BQ74" i="15"/>
  <c r="BO75" i="15"/>
  <c r="BP75" i="15"/>
  <c r="BQ75" i="15"/>
  <c r="BO76" i="15"/>
  <c r="BP76" i="15"/>
  <c r="BQ76" i="15"/>
  <c r="BO77" i="15"/>
  <c r="BP77" i="15"/>
  <c r="BQ77" i="15"/>
  <c r="BO78" i="15"/>
  <c r="BP78" i="15"/>
  <c r="BQ78" i="15"/>
  <c r="BO79" i="15"/>
  <c r="BP79" i="15"/>
  <c r="BQ79" i="15"/>
  <c r="BO80" i="15"/>
  <c r="BP80" i="15"/>
  <c r="BQ80" i="15"/>
  <c r="BO81" i="15"/>
  <c r="BP81" i="15"/>
  <c r="BQ81" i="15"/>
  <c r="BO82" i="15"/>
  <c r="BP82" i="15"/>
  <c r="BQ82" i="15"/>
  <c r="BO83" i="15"/>
  <c r="BP83" i="15"/>
  <c r="BQ83" i="15"/>
  <c r="BO84" i="15"/>
  <c r="BP84" i="15"/>
  <c r="BQ84" i="15"/>
  <c r="BO85" i="15"/>
  <c r="BP85" i="15"/>
  <c r="BQ85" i="15"/>
  <c r="BO86" i="15"/>
  <c r="BP86" i="15"/>
  <c r="BQ86" i="15"/>
  <c r="BO87" i="15"/>
  <c r="BP87" i="15"/>
  <c r="BQ87" i="15"/>
  <c r="BO88" i="15"/>
  <c r="BP88" i="15"/>
  <c r="BQ88" i="15"/>
  <c r="BO89" i="15"/>
  <c r="BP89" i="15"/>
  <c r="BQ89" i="15"/>
  <c r="BO90" i="15"/>
  <c r="BP90" i="15"/>
  <c r="BQ90" i="15"/>
  <c r="BO91" i="15"/>
  <c r="BP91" i="15"/>
  <c r="BQ91" i="15"/>
  <c r="BO92" i="15"/>
  <c r="BP92" i="15"/>
  <c r="BQ92" i="15"/>
  <c r="BO93" i="15"/>
  <c r="BP93" i="15"/>
  <c r="BQ93" i="15"/>
  <c r="BO94" i="15"/>
  <c r="BP94" i="15"/>
  <c r="BQ94" i="15"/>
  <c r="BO95" i="15"/>
  <c r="BP95" i="15"/>
  <c r="BQ95" i="15"/>
  <c r="BO96" i="15"/>
  <c r="BP96" i="15"/>
  <c r="BQ96" i="15"/>
  <c r="BO97" i="15"/>
  <c r="BP97" i="15"/>
  <c r="BQ97" i="15"/>
  <c r="BO98" i="15"/>
  <c r="BP98" i="15"/>
  <c r="BQ98" i="15"/>
  <c r="BO99" i="15"/>
  <c r="BP99" i="15"/>
  <c r="BQ99" i="15"/>
  <c r="BO100" i="15"/>
  <c r="BP100" i="15"/>
  <c r="BQ100" i="15"/>
  <c r="BO101" i="15"/>
  <c r="BP101" i="15"/>
  <c r="BQ101" i="15"/>
  <c r="BO102" i="15"/>
  <c r="BP102" i="15"/>
  <c r="BQ102" i="15"/>
  <c r="BO103" i="15"/>
  <c r="BP103" i="15"/>
  <c r="BQ103" i="15"/>
  <c r="BO104" i="15"/>
  <c r="BP104" i="15"/>
  <c r="BQ104" i="15"/>
  <c r="BO105" i="15"/>
  <c r="BP105" i="15"/>
  <c r="BQ105" i="15"/>
  <c r="BO106" i="15"/>
  <c r="BP106" i="15"/>
  <c r="BQ106" i="15"/>
  <c r="BO107" i="15"/>
  <c r="BP107" i="15"/>
  <c r="BQ107" i="15"/>
  <c r="BO108" i="15"/>
  <c r="BP108" i="15"/>
  <c r="BQ108" i="15"/>
  <c r="BQ67" i="15"/>
  <c r="BP67" i="15"/>
  <c r="BO67" i="15"/>
  <c r="BL68" i="15"/>
  <c r="BM68" i="15"/>
  <c r="BN68" i="15"/>
  <c r="BL69" i="15"/>
  <c r="BM69" i="15"/>
  <c r="BN69" i="15"/>
  <c r="BL70" i="15"/>
  <c r="BM70" i="15"/>
  <c r="BN70" i="15"/>
  <c r="BL71" i="15"/>
  <c r="BM71" i="15"/>
  <c r="BN71" i="15"/>
  <c r="BL72" i="15"/>
  <c r="BM72" i="15"/>
  <c r="BN72" i="15"/>
  <c r="BL73" i="15"/>
  <c r="BM73" i="15"/>
  <c r="BN73" i="15"/>
  <c r="BL74" i="15"/>
  <c r="BM74" i="15"/>
  <c r="BN74" i="15"/>
  <c r="BL75" i="15"/>
  <c r="BM75" i="15"/>
  <c r="BN75" i="15"/>
  <c r="BL76" i="15"/>
  <c r="BM76" i="15"/>
  <c r="BN76" i="15"/>
  <c r="BL77" i="15"/>
  <c r="BM77" i="15"/>
  <c r="BN77" i="15"/>
  <c r="BL78" i="15"/>
  <c r="BM78" i="15"/>
  <c r="BN78" i="15"/>
  <c r="BL79" i="15"/>
  <c r="BM79" i="15"/>
  <c r="BN79" i="15"/>
  <c r="BL80" i="15"/>
  <c r="BM80" i="15"/>
  <c r="BN80" i="15"/>
  <c r="BL81" i="15"/>
  <c r="BM81" i="15"/>
  <c r="BN81" i="15"/>
  <c r="BL82" i="15"/>
  <c r="BM82" i="15"/>
  <c r="BN82" i="15"/>
  <c r="BL83" i="15"/>
  <c r="BM83" i="15"/>
  <c r="BN83" i="15"/>
  <c r="BL84" i="15"/>
  <c r="BM84" i="15"/>
  <c r="BN84" i="15"/>
  <c r="BL85" i="15"/>
  <c r="BM85" i="15"/>
  <c r="BN85" i="15"/>
  <c r="BL86" i="15"/>
  <c r="BM86" i="15"/>
  <c r="BN86" i="15"/>
  <c r="BL87" i="15"/>
  <c r="BM87" i="15"/>
  <c r="BN87" i="15"/>
  <c r="BL88" i="15"/>
  <c r="BM88" i="15"/>
  <c r="BN88" i="15"/>
  <c r="BL89" i="15"/>
  <c r="BM89" i="15"/>
  <c r="BN89" i="15"/>
  <c r="BL90" i="15"/>
  <c r="BM90" i="15"/>
  <c r="BN90" i="15"/>
  <c r="BL91" i="15"/>
  <c r="BM91" i="15"/>
  <c r="BN91" i="15"/>
  <c r="BL92" i="15"/>
  <c r="BM92" i="15"/>
  <c r="BN92" i="15"/>
  <c r="BL93" i="15"/>
  <c r="BM93" i="15"/>
  <c r="BN93" i="15"/>
  <c r="BL94" i="15"/>
  <c r="BM94" i="15"/>
  <c r="BN94" i="15"/>
  <c r="BL95" i="15"/>
  <c r="BM95" i="15"/>
  <c r="BN95" i="15"/>
  <c r="BL96" i="15"/>
  <c r="BM96" i="15"/>
  <c r="BN96" i="15"/>
  <c r="BL97" i="15"/>
  <c r="BM97" i="15"/>
  <c r="BN97" i="15"/>
  <c r="BL98" i="15"/>
  <c r="BM98" i="15"/>
  <c r="BN98" i="15"/>
  <c r="BL99" i="15"/>
  <c r="BM99" i="15"/>
  <c r="BN99" i="15"/>
  <c r="BL100" i="15"/>
  <c r="BM100" i="15"/>
  <c r="BN100" i="15"/>
  <c r="BL101" i="15"/>
  <c r="BM101" i="15"/>
  <c r="BN101" i="15"/>
  <c r="BL102" i="15"/>
  <c r="BM102" i="15"/>
  <c r="BN102" i="15"/>
  <c r="BL103" i="15"/>
  <c r="BM103" i="15"/>
  <c r="BN103" i="15"/>
  <c r="BL104" i="15"/>
  <c r="BM104" i="15"/>
  <c r="BN104" i="15"/>
  <c r="BL105" i="15"/>
  <c r="BM105" i="15"/>
  <c r="BN105" i="15"/>
  <c r="BL106" i="15"/>
  <c r="BM106" i="15"/>
  <c r="BN106" i="15"/>
  <c r="BL107" i="15"/>
  <c r="BM107" i="15"/>
  <c r="BN107" i="15"/>
  <c r="BL108" i="15"/>
  <c r="BM108" i="15"/>
  <c r="BN108" i="15"/>
  <c r="BN67" i="15"/>
  <c r="BM67" i="15"/>
  <c r="BL67" i="15"/>
  <c r="BJ68" i="15"/>
  <c r="BK68" i="15"/>
  <c r="BJ69" i="15"/>
  <c r="BK69" i="15"/>
  <c r="BJ70" i="15"/>
  <c r="BK70" i="15"/>
  <c r="BJ71" i="15"/>
  <c r="BK71" i="15"/>
  <c r="BJ72" i="15"/>
  <c r="BK72" i="15"/>
  <c r="BJ73" i="15"/>
  <c r="BK73" i="15"/>
  <c r="BJ74" i="15"/>
  <c r="BK74" i="15"/>
  <c r="BJ75" i="15"/>
  <c r="BK75" i="15"/>
  <c r="BJ76" i="15"/>
  <c r="BK76" i="15"/>
  <c r="BJ77" i="15"/>
  <c r="BK77" i="15"/>
  <c r="BJ78" i="15"/>
  <c r="BK78" i="15"/>
  <c r="BJ79" i="15"/>
  <c r="BK79" i="15"/>
  <c r="BJ80" i="15"/>
  <c r="BK80" i="15"/>
  <c r="BJ81" i="15"/>
  <c r="BK81" i="15"/>
  <c r="BJ82" i="15"/>
  <c r="BK82" i="15"/>
  <c r="BJ83" i="15"/>
  <c r="BK83" i="15"/>
  <c r="BJ84" i="15"/>
  <c r="BK84" i="15"/>
  <c r="BJ85" i="15"/>
  <c r="BK85" i="15"/>
  <c r="BJ86" i="15"/>
  <c r="BK86" i="15"/>
  <c r="BJ87" i="15"/>
  <c r="BK87" i="15"/>
  <c r="BJ88" i="15"/>
  <c r="BK88" i="15"/>
  <c r="BJ89" i="15"/>
  <c r="BK89" i="15"/>
  <c r="BJ90" i="15"/>
  <c r="BK90" i="15"/>
  <c r="BJ91" i="15"/>
  <c r="BK91" i="15"/>
  <c r="BJ92" i="15"/>
  <c r="BK92" i="15"/>
  <c r="BJ93" i="15"/>
  <c r="BK93" i="15"/>
  <c r="BJ94" i="15"/>
  <c r="BK94" i="15"/>
  <c r="BJ95" i="15"/>
  <c r="BK95" i="15"/>
  <c r="BJ96" i="15"/>
  <c r="BK96" i="15"/>
  <c r="BJ97" i="15"/>
  <c r="BK97" i="15"/>
  <c r="BJ98" i="15"/>
  <c r="BK98" i="15"/>
  <c r="BJ99" i="15"/>
  <c r="BK99" i="15"/>
  <c r="BJ100" i="15"/>
  <c r="BK100" i="15"/>
  <c r="BJ101" i="15"/>
  <c r="BK101" i="15"/>
  <c r="BJ102" i="15"/>
  <c r="BK102" i="15"/>
  <c r="BJ103" i="15"/>
  <c r="BK103" i="15"/>
  <c r="BJ104" i="15"/>
  <c r="BK104" i="15"/>
  <c r="BJ105" i="15"/>
  <c r="BK105" i="15"/>
  <c r="BJ106" i="15"/>
  <c r="BK106" i="15"/>
  <c r="BJ107" i="15"/>
  <c r="BK107" i="15"/>
  <c r="BJ108" i="15"/>
  <c r="BK108" i="15"/>
  <c r="BK67" i="15"/>
  <c r="BJ67" i="15"/>
  <c r="BI68" i="15"/>
  <c r="BI69" i="15"/>
  <c r="BI70" i="15"/>
  <c r="BI71" i="15"/>
  <c r="BI72" i="15"/>
  <c r="BI73" i="15"/>
  <c r="BI74" i="15"/>
  <c r="BI75" i="15"/>
  <c r="BI76" i="15"/>
  <c r="BI77" i="15"/>
  <c r="BI78" i="15"/>
  <c r="BI79" i="15"/>
  <c r="BI80" i="15"/>
  <c r="BI81" i="15"/>
  <c r="BI82" i="15"/>
  <c r="BI83" i="15"/>
  <c r="BI84" i="15"/>
  <c r="BI85" i="15"/>
  <c r="BI86" i="15"/>
  <c r="BI87" i="15"/>
  <c r="BI88" i="15"/>
  <c r="BI89" i="15"/>
  <c r="BI90" i="15"/>
  <c r="BI91" i="15"/>
  <c r="BI92" i="15"/>
  <c r="BI93" i="15"/>
  <c r="BI94" i="15"/>
  <c r="BI95" i="15"/>
  <c r="BI96" i="15"/>
  <c r="BI97" i="15"/>
  <c r="BI98" i="15"/>
  <c r="BI99" i="15"/>
  <c r="BI100" i="15"/>
  <c r="BI101" i="15"/>
  <c r="BI102" i="15"/>
  <c r="BI103" i="15"/>
  <c r="BI104" i="15"/>
  <c r="BI105" i="15"/>
  <c r="BI106" i="15"/>
  <c r="BI107" i="15"/>
  <c r="BI108" i="15"/>
  <c r="BI67" i="15"/>
  <c r="BF68" i="15"/>
  <c r="BG68" i="15"/>
  <c r="BH68" i="15"/>
  <c r="BF69" i="15"/>
  <c r="BG69" i="15"/>
  <c r="BH69" i="15"/>
  <c r="BF70" i="15"/>
  <c r="BG70" i="15"/>
  <c r="BH70" i="15"/>
  <c r="BF71" i="15"/>
  <c r="BG71" i="15"/>
  <c r="BH71" i="15"/>
  <c r="BF72" i="15"/>
  <c r="BG72" i="15"/>
  <c r="BH72" i="15"/>
  <c r="BF73" i="15"/>
  <c r="BG73" i="15"/>
  <c r="BH73" i="15"/>
  <c r="BF74" i="15"/>
  <c r="BG74" i="15"/>
  <c r="BH74" i="15"/>
  <c r="BF75" i="15"/>
  <c r="BG75" i="15"/>
  <c r="BH75" i="15"/>
  <c r="BF76" i="15"/>
  <c r="BG76" i="15"/>
  <c r="BH76" i="15"/>
  <c r="BF77" i="15"/>
  <c r="BG77" i="15"/>
  <c r="BH77" i="15"/>
  <c r="BF78" i="15"/>
  <c r="BG78" i="15"/>
  <c r="BH78" i="15"/>
  <c r="BF79" i="15"/>
  <c r="BG79" i="15"/>
  <c r="BH79" i="15"/>
  <c r="BF80" i="15"/>
  <c r="BG80" i="15"/>
  <c r="BH80" i="15"/>
  <c r="BF81" i="15"/>
  <c r="BG81" i="15"/>
  <c r="BH81" i="15"/>
  <c r="BF82" i="15"/>
  <c r="BG82" i="15"/>
  <c r="BH82" i="15"/>
  <c r="BF83" i="15"/>
  <c r="BG83" i="15"/>
  <c r="BH83" i="15"/>
  <c r="BF84" i="15"/>
  <c r="BG84" i="15"/>
  <c r="BH84" i="15"/>
  <c r="BF85" i="15"/>
  <c r="BG85" i="15"/>
  <c r="BH85" i="15"/>
  <c r="BF86" i="15"/>
  <c r="BG86" i="15"/>
  <c r="BH86" i="15"/>
  <c r="BF87" i="15"/>
  <c r="BG87" i="15"/>
  <c r="BH87" i="15"/>
  <c r="BF88" i="15"/>
  <c r="BG88" i="15"/>
  <c r="BH88" i="15"/>
  <c r="BF89" i="15"/>
  <c r="BG89" i="15"/>
  <c r="BH89" i="15"/>
  <c r="BF90" i="15"/>
  <c r="BG90" i="15"/>
  <c r="BH90" i="15"/>
  <c r="BF91" i="15"/>
  <c r="BG91" i="15"/>
  <c r="BH91" i="15"/>
  <c r="BF92" i="15"/>
  <c r="BG92" i="15"/>
  <c r="BH92" i="15"/>
  <c r="BF93" i="15"/>
  <c r="BG93" i="15"/>
  <c r="BH93" i="15"/>
  <c r="BF94" i="15"/>
  <c r="BG94" i="15"/>
  <c r="BH94" i="15"/>
  <c r="BF95" i="15"/>
  <c r="BG95" i="15"/>
  <c r="BH95" i="15"/>
  <c r="BF96" i="15"/>
  <c r="BG96" i="15"/>
  <c r="BH96" i="15"/>
  <c r="BF97" i="15"/>
  <c r="BG97" i="15"/>
  <c r="BH97" i="15"/>
  <c r="BF98" i="15"/>
  <c r="BG98" i="15"/>
  <c r="BH98" i="15"/>
  <c r="BF99" i="15"/>
  <c r="BG99" i="15"/>
  <c r="BH99" i="15"/>
  <c r="BF100" i="15"/>
  <c r="BG100" i="15"/>
  <c r="BH100" i="15"/>
  <c r="BF101" i="15"/>
  <c r="BG101" i="15"/>
  <c r="BH101" i="15"/>
  <c r="BF102" i="15"/>
  <c r="BG102" i="15"/>
  <c r="BH102" i="15"/>
  <c r="BF103" i="15"/>
  <c r="BG103" i="15"/>
  <c r="BH103" i="15"/>
  <c r="BF104" i="15"/>
  <c r="BG104" i="15"/>
  <c r="BH104" i="15"/>
  <c r="BF105" i="15"/>
  <c r="BG105" i="15"/>
  <c r="BH105" i="15"/>
  <c r="BF106" i="15"/>
  <c r="BG106" i="15"/>
  <c r="BH106" i="15"/>
  <c r="BF107" i="15"/>
  <c r="BG107" i="15"/>
  <c r="BH107" i="15"/>
  <c r="BF108" i="15"/>
  <c r="BG108" i="15"/>
  <c r="BH108" i="15"/>
  <c r="BH67" i="15"/>
  <c r="BG67" i="15"/>
  <c r="BF67" i="15"/>
  <c r="BC72" i="15"/>
  <c r="BD72" i="15"/>
  <c r="BE72" i="15"/>
  <c r="BC73" i="15"/>
  <c r="BD73" i="15"/>
  <c r="BE73" i="15"/>
  <c r="BC74" i="15"/>
  <c r="BD74" i="15"/>
  <c r="BE74" i="15"/>
  <c r="BC75" i="15"/>
  <c r="BD75" i="15"/>
  <c r="BE75" i="15"/>
  <c r="BC76" i="15"/>
  <c r="BD76" i="15"/>
  <c r="BE76" i="15"/>
  <c r="BC77" i="15"/>
  <c r="BD77" i="15"/>
  <c r="BE77" i="15"/>
  <c r="BC78" i="15"/>
  <c r="BD78" i="15"/>
  <c r="BE78" i="15"/>
  <c r="BC79" i="15"/>
  <c r="BD79" i="15"/>
  <c r="BE79" i="15"/>
  <c r="BC80" i="15"/>
  <c r="BD80" i="15"/>
  <c r="BE80" i="15"/>
  <c r="BC81" i="15"/>
  <c r="BD81" i="15"/>
  <c r="BE81" i="15"/>
  <c r="BC82" i="15"/>
  <c r="BD82" i="15"/>
  <c r="BE82" i="15"/>
  <c r="BC83" i="15"/>
  <c r="BD83" i="15"/>
  <c r="BE83" i="15"/>
  <c r="BC84" i="15"/>
  <c r="BD84" i="15"/>
  <c r="BE84" i="15"/>
  <c r="BC85" i="15"/>
  <c r="BD85" i="15"/>
  <c r="BE85" i="15"/>
  <c r="BC86" i="15"/>
  <c r="BD86" i="15"/>
  <c r="BE86" i="15"/>
  <c r="BC87" i="15"/>
  <c r="BD87" i="15"/>
  <c r="BE87" i="15"/>
  <c r="BC88" i="15"/>
  <c r="BD88" i="15"/>
  <c r="BE88" i="15"/>
  <c r="BC89" i="15"/>
  <c r="BD89" i="15"/>
  <c r="BE89" i="15"/>
  <c r="BC90" i="15"/>
  <c r="BD90" i="15"/>
  <c r="BE90" i="15"/>
  <c r="BC91" i="15"/>
  <c r="BD91" i="15"/>
  <c r="BE91" i="15"/>
  <c r="BC92" i="15"/>
  <c r="BD92" i="15"/>
  <c r="BE92" i="15"/>
  <c r="BC93" i="15"/>
  <c r="BD93" i="15"/>
  <c r="BE93" i="15"/>
  <c r="BC94" i="15"/>
  <c r="BD94" i="15"/>
  <c r="BE94" i="15"/>
  <c r="BC95" i="15"/>
  <c r="BD95" i="15"/>
  <c r="BE95" i="15"/>
  <c r="BC96" i="15"/>
  <c r="BD96" i="15"/>
  <c r="BE96" i="15"/>
  <c r="BC97" i="15"/>
  <c r="BD97" i="15"/>
  <c r="BE97" i="15"/>
  <c r="BC98" i="15"/>
  <c r="BD98" i="15"/>
  <c r="BE98" i="15"/>
  <c r="BC99" i="15"/>
  <c r="BD99" i="15"/>
  <c r="BE99" i="15"/>
  <c r="BC100" i="15"/>
  <c r="BD100" i="15"/>
  <c r="BE100" i="15"/>
  <c r="BC101" i="15"/>
  <c r="BD101" i="15"/>
  <c r="BE101" i="15"/>
  <c r="BC102" i="15"/>
  <c r="BD102" i="15"/>
  <c r="BE102" i="15"/>
  <c r="BC103" i="15"/>
  <c r="BD103" i="15"/>
  <c r="BE103" i="15"/>
  <c r="BC104" i="15"/>
  <c r="BD104" i="15"/>
  <c r="BE104" i="15"/>
  <c r="BC105" i="15"/>
  <c r="BD105" i="15"/>
  <c r="BE105" i="15"/>
  <c r="BC106" i="15"/>
  <c r="BD106" i="15"/>
  <c r="BE106" i="15"/>
  <c r="BC107" i="15"/>
  <c r="BD107" i="15"/>
  <c r="BE107" i="15"/>
  <c r="BC108" i="15"/>
  <c r="BD108" i="15"/>
  <c r="BE108" i="15"/>
  <c r="AZ108" i="15"/>
  <c r="BA108" i="15"/>
  <c r="BB108" i="15"/>
  <c r="AZ72" i="15"/>
  <c r="BA72" i="15"/>
  <c r="BB72" i="15"/>
  <c r="AZ73" i="15"/>
  <c r="BA73" i="15"/>
  <c r="BB73" i="15"/>
  <c r="AZ74" i="15"/>
  <c r="BA74" i="15"/>
  <c r="BB74" i="15"/>
  <c r="AZ75" i="15"/>
  <c r="BA75" i="15"/>
  <c r="BB75" i="15"/>
  <c r="AZ76" i="15"/>
  <c r="BA76" i="15"/>
  <c r="BB76" i="15"/>
  <c r="AZ77" i="15"/>
  <c r="BA77" i="15"/>
  <c r="BB77" i="15"/>
  <c r="AZ78" i="15"/>
  <c r="BA78" i="15"/>
  <c r="BB78" i="15"/>
  <c r="AZ79" i="15"/>
  <c r="BA79" i="15"/>
  <c r="BB79" i="15"/>
  <c r="AZ80" i="15"/>
  <c r="BA80" i="15"/>
  <c r="BB80" i="15"/>
  <c r="AZ81" i="15"/>
  <c r="BA81" i="15"/>
  <c r="BB81" i="15"/>
  <c r="AZ82" i="15"/>
  <c r="BA82" i="15"/>
  <c r="BB82" i="15"/>
  <c r="AZ83" i="15"/>
  <c r="BA83" i="15"/>
  <c r="BB83" i="15"/>
  <c r="AZ84" i="15"/>
  <c r="BA84" i="15"/>
  <c r="BB84" i="15"/>
  <c r="AZ85" i="15"/>
  <c r="BA85" i="15"/>
  <c r="BB85" i="15"/>
  <c r="AZ86" i="15"/>
  <c r="BA86" i="15"/>
  <c r="BB86" i="15"/>
  <c r="AZ87" i="15"/>
  <c r="BA87" i="15"/>
  <c r="BB87" i="15"/>
  <c r="AZ88" i="15"/>
  <c r="BA88" i="15"/>
  <c r="BB88" i="15"/>
  <c r="AZ89" i="15"/>
  <c r="BA89" i="15"/>
  <c r="BB89" i="15"/>
  <c r="AZ90" i="15"/>
  <c r="BA90" i="15"/>
  <c r="BB90" i="15"/>
  <c r="AZ91" i="15"/>
  <c r="BA91" i="15"/>
  <c r="BB91" i="15"/>
  <c r="AZ92" i="15"/>
  <c r="BA92" i="15"/>
  <c r="BB92" i="15"/>
  <c r="AZ93" i="15"/>
  <c r="BA93" i="15"/>
  <c r="BB93" i="15"/>
  <c r="AZ94" i="15"/>
  <c r="BA94" i="15"/>
  <c r="BB94" i="15"/>
  <c r="AZ95" i="15"/>
  <c r="BA95" i="15"/>
  <c r="BB95" i="15"/>
  <c r="AZ96" i="15"/>
  <c r="BA96" i="15"/>
  <c r="BB96" i="15"/>
  <c r="AZ97" i="15"/>
  <c r="BA97" i="15"/>
  <c r="BB97" i="15"/>
  <c r="AZ98" i="15"/>
  <c r="BA98" i="15"/>
  <c r="BB98" i="15"/>
  <c r="AZ99" i="15"/>
  <c r="BA99" i="15"/>
  <c r="BB99" i="15"/>
  <c r="AZ100" i="15"/>
  <c r="BA100" i="15"/>
  <c r="BB100" i="15"/>
  <c r="AZ101" i="15"/>
  <c r="BA101" i="15"/>
  <c r="BB101" i="15"/>
  <c r="AZ102" i="15"/>
  <c r="BA102" i="15"/>
  <c r="BB102" i="15"/>
  <c r="AZ103" i="15"/>
  <c r="BA103" i="15"/>
  <c r="BB103" i="15"/>
  <c r="AZ104" i="15"/>
  <c r="BA104" i="15"/>
  <c r="BB104" i="15"/>
  <c r="AZ105" i="15"/>
  <c r="BA105" i="15"/>
  <c r="BB105" i="15"/>
  <c r="AZ106" i="15"/>
  <c r="BA106" i="15"/>
  <c r="BB106" i="15"/>
  <c r="AZ107" i="15"/>
  <c r="BA107" i="15"/>
  <c r="BB107" i="15"/>
  <c r="AW74" i="15"/>
  <c r="AX74" i="15"/>
  <c r="AY74" i="15"/>
  <c r="AW75" i="15"/>
  <c r="AX75" i="15"/>
  <c r="AY75" i="15"/>
  <c r="AW76" i="15"/>
  <c r="AX76" i="15"/>
  <c r="AY76" i="15"/>
  <c r="AW77" i="15"/>
  <c r="AX77" i="15"/>
  <c r="AY77" i="15"/>
  <c r="AW78" i="15"/>
  <c r="AX78" i="15"/>
  <c r="AY78" i="15"/>
  <c r="AW79" i="15"/>
  <c r="AX79" i="15"/>
  <c r="AY79" i="15"/>
  <c r="AW80" i="15"/>
  <c r="AX80" i="15"/>
  <c r="AY80" i="15"/>
  <c r="AW81" i="15"/>
  <c r="AX81" i="15"/>
  <c r="AY81" i="15"/>
  <c r="AW82" i="15"/>
  <c r="AX82" i="15"/>
  <c r="AY82" i="15"/>
  <c r="AW83" i="15"/>
  <c r="AX83" i="15"/>
  <c r="AY83" i="15"/>
  <c r="AW84" i="15"/>
  <c r="AX84" i="15"/>
  <c r="AY84" i="15"/>
  <c r="AW85" i="15"/>
  <c r="AX85" i="15"/>
  <c r="AY85" i="15"/>
  <c r="AW86" i="15"/>
  <c r="AX86" i="15"/>
  <c r="AY86" i="15"/>
  <c r="AW87" i="15"/>
  <c r="AX87" i="15"/>
  <c r="AY87" i="15"/>
  <c r="AW88" i="15"/>
  <c r="AX88" i="15"/>
  <c r="AY88" i="15"/>
  <c r="AW89" i="15"/>
  <c r="AX89" i="15"/>
  <c r="AY89" i="15"/>
  <c r="AW90" i="15"/>
  <c r="AX90" i="15"/>
  <c r="AY90" i="15"/>
  <c r="AW91" i="15"/>
  <c r="AX91" i="15"/>
  <c r="AY91" i="15"/>
  <c r="AW92" i="15"/>
  <c r="AX92" i="15"/>
  <c r="AY92" i="15"/>
  <c r="AW93" i="15"/>
  <c r="AX93" i="15"/>
  <c r="AY93" i="15"/>
  <c r="AW94" i="15"/>
  <c r="AX94" i="15"/>
  <c r="AY94" i="15"/>
  <c r="AW95" i="15"/>
  <c r="AX95" i="15"/>
  <c r="AY95" i="15"/>
  <c r="AW96" i="15"/>
  <c r="AX96" i="15"/>
  <c r="AY96" i="15"/>
  <c r="AW97" i="15"/>
  <c r="AX97" i="15"/>
  <c r="AY97" i="15"/>
  <c r="AW98" i="15"/>
  <c r="AX98" i="15"/>
  <c r="AY98" i="15"/>
  <c r="AW99" i="15"/>
  <c r="AX99" i="15"/>
  <c r="AY99" i="15"/>
  <c r="AW100" i="15"/>
  <c r="AX100" i="15"/>
  <c r="AY100" i="15"/>
  <c r="AW101" i="15"/>
  <c r="AX101" i="15"/>
  <c r="AY101" i="15"/>
  <c r="AW102" i="15"/>
  <c r="AX102" i="15"/>
  <c r="AY102" i="15"/>
  <c r="AW103" i="15"/>
  <c r="AX103" i="15"/>
  <c r="AY103" i="15"/>
  <c r="AW104" i="15"/>
  <c r="AX104" i="15"/>
  <c r="AY104" i="15"/>
  <c r="AW105" i="15"/>
  <c r="AX105" i="15"/>
  <c r="AY105" i="15"/>
  <c r="AW106" i="15"/>
  <c r="AX106" i="15"/>
  <c r="AY106" i="15"/>
  <c r="AW107" i="15"/>
  <c r="AX107" i="15"/>
  <c r="AY107" i="15"/>
  <c r="AW108" i="15"/>
  <c r="AX108" i="15"/>
  <c r="AY108" i="15"/>
  <c r="AT72" i="15"/>
  <c r="AU72" i="15"/>
  <c r="AV72" i="15"/>
  <c r="AT74" i="15"/>
  <c r="AU74" i="15"/>
  <c r="AV74" i="15"/>
  <c r="AT75" i="15"/>
  <c r="AU75" i="15"/>
  <c r="AV75" i="15"/>
  <c r="AT76" i="15"/>
  <c r="AU76" i="15"/>
  <c r="AV76" i="15"/>
  <c r="AT77" i="15"/>
  <c r="AU77" i="15"/>
  <c r="AV77" i="15"/>
  <c r="AT78" i="15"/>
  <c r="AU78" i="15"/>
  <c r="AV78" i="15"/>
  <c r="AT79" i="15"/>
  <c r="AU79" i="15"/>
  <c r="AV79" i="15"/>
  <c r="AT80" i="15"/>
  <c r="AU80" i="15"/>
  <c r="AV80" i="15"/>
  <c r="AT81" i="15"/>
  <c r="AU81" i="15"/>
  <c r="AV81" i="15"/>
  <c r="AT82" i="15"/>
  <c r="AU82" i="15"/>
  <c r="AV82" i="15"/>
  <c r="AT83" i="15"/>
  <c r="AU83" i="15"/>
  <c r="AV83" i="15"/>
  <c r="AT84" i="15"/>
  <c r="AU84" i="15"/>
  <c r="AV84" i="15"/>
  <c r="AT85" i="15"/>
  <c r="AU85" i="15"/>
  <c r="AV85" i="15"/>
  <c r="AT86" i="15"/>
  <c r="AU86" i="15"/>
  <c r="AV86" i="15"/>
  <c r="AT87" i="15"/>
  <c r="AU87" i="15"/>
  <c r="AV87" i="15"/>
  <c r="AT88" i="15"/>
  <c r="AU88" i="15"/>
  <c r="AV88" i="15"/>
  <c r="AT89" i="15"/>
  <c r="AU89" i="15"/>
  <c r="AV89" i="15"/>
  <c r="AT90" i="15"/>
  <c r="AU90" i="15"/>
  <c r="AV90" i="15"/>
  <c r="AT91" i="15"/>
  <c r="AU91" i="15"/>
  <c r="AV91" i="15"/>
  <c r="AT92" i="15"/>
  <c r="AU92" i="15"/>
  <c r="AV92" i="15"/>
  <c r="AT93" i="15"/>
  <c r="AU93" i="15"/>
  <c r="AV93" i="15"/>
  <c r="AT94" i="15"/>
  <c r="AU94" i="15"/>
  <c r="AV94" i="15"/>
  <c r="AT95" i="15"/>
  <c r="AU95" i="15"/>
  <c r="AV95" i="15"/>
  <c r="AT96" i="15"/>
  <c r="AU96" i="15"/>
  <c r="AV96" i="15"/>
  <c r="AT97" i="15"/>
  <c r="AU97" i="15"/>
  <c r="AV97" i="15"/>
  <c r="AT98" i="15"/>
  <c r="AU98" i="15"/>
  <c r="AV98" i="15"/>
  <c r="AT99" i="15"/>
  <c r="AU99" i="15"/>
  <c r="AV99" i="15"/>
  <c r="AT100" i="15"/>
  <c r="AU100" i="15"/>
  <c r="AV100" i="15"/>
  <c r="AT101" i="15"/>
  <c r="AU101" i="15"/>
  <c r="AV101" i="15"/>
  <c r="AT102" i="15"/>
  <c r="AU102" i="15"/>
  <c r="AV102" i="15"/>
  <c r="AT103" i="15"/>
  <c r="AU103" i="15"/>
  <c r="AV103" i="15"/>
  <c r="AT104" i="15"/>
  <c r="AU104" i="15"/>
  <c r="AV104" i="15"/>
  <c r="AT105" i="15"/>
  <c r="AU105" i="15"/>
  <c r="AV105" i="15"/>
  <c r="AT106" i="15"/>
  <c r="AU106" i="15"/>
  <c r="AV106" i="15"/>
  <c r="AT107" i="15"/>
  <c r="AU107" i="15"/>
  <c r="AV107" i="15"/>
  <c r="AT108" i="15"/>
  <c r="AU108" i="15"/>
  <c r="AV108" i="15"/>
  <c r="AQ74" i="15"/>
  <c r="AR74" i="15"/>
  <c r="AS74" i="15"/>
  <c r="AQ75" i="15"/>
  <c r="AR75" i="15"/>
  <c r="AS75" i="15"/>
  <c r="AQ76" i="15"/>
  <c r="AR76" i="15"/>
  <c r="AS76" i="15"/>
  <c r="AQ77" i="15"/>
  <c r="AR77" i="15"/>
  <c r="AS77" i="15"/>
  <c r="AQ78" i="15"/>
  <c r="AR78" i="15"/>
  <c r="AS78" i="15"/>
  <c r="AQ79" i="15"/>
  <c r="AR79" i="15"/>
  <c r="AS79" i="15"/>
  <c r="AQ80" i="15"/>
  <c r="AR80" i="15"/>
  <c r="AS80" i="15"/>
  <c r="AQ81" i="15"/>
  <c r="AR81" i="15"/>
  <c r="AS81" i="15"/>
  <c r="AQ82" i="15"/>
  <c r="AR82" i="15"/>
  <c r="AS82" i="15"/>
  <c r="AQ83" i="15"/>
  <c r="AR83" i="15"/>
  <c r="AS83" i="15"/>
  <c r="AQ84" i="15"/>
  <c r="AR84" i="15"/>
  <c r="AS84" i="15"/>
  <c r="AQ85" i="15"/>
  <c r="AR85" i="15"/>
  <c r="AS85" i="15"/>
  <c r="AQ86" i="15"/>
  <c r="AR86" i="15"/>
  <c r="AS86" i="15"/>
  <c r="AQ87" i="15"/>
  <c r="AR87" i="15"/>
  <c r="AS87" i="15"/>
  <c r="AQ88" i="15"/>
  <c r="AR88" i="15"/>
  <c r="AS88" i="15"/>
  <c r="AQ89" i="15"/>
  <c r="AR89" i="15"/>
  <c r="AS89" i="15"/>
  <c r="AQ90" i="15"/>
  <c r="AR90" i="15"/>
  <c r="AS90" i="15"/>
  <c r="AQ91" i="15"/>
  <c r="AR91" i="15"/>
  <c r="AS91" i="15"/>
  <c r="AQ92" i="15"/>
  <c r="AR92" i="15"/>
  <c r="AS92" i="15"/>
  <c r="AQ93" i="15"/>
  <c r="AR93" i="15"/>
  <c r="AS93" i="15"/>
  <c r="AQ94" i="15"/>
  <c r="AR94" i="15"/>
  <c r="AS94" i="15"/>
  <c r="AQ95" i="15"/>
  <c r="AR95" i="15"/>
  <c r="AS95" i="15"/>
  <c r="AQ96" i="15"/>
  <c r="AR96" i="15"/>
  <c r="AS96" i="15"/>
  <c r="AQ97" i="15"/>
  <c r="AR97" i="15"/>
  <c r="AS97" i="15"/>
  <c r="AQ98" i="15"/>
  <c r="AR98" i="15"/>
  <c r="AS98" i="15"/>
  <c r="AQ99" i="15"/>
  <c r="AR99" i="15"/>
  <c r="AS99" i="15"/>
  <c r="AQ100" i="15"/>
  <c r="AR100" i="15"/>
  <c r="AS100" i="15"/>
  <c r="AQ101" i="15"/>
  <c r="AR101" i="15"/>
  <c r="AS101" i="15"/>
  <c r="AQ102" i="15"/>
  <c r="AR102" i="15"/>
  <c r="AS102" i="15"/>
  <c r="AQ103" i="15"/>
  <c r="AR103" i="15"/>
  <c r="AS103" i="15"/>
  <c r="AQ104" i="15"/>
  <c r="AR104" i="15"/>
  <c r="AS104" i="15"/>
  <c r="AQ105" i="15"/>
  <c r="AR105" i="15"/>
  <c r="AS105" i="15"/>
  <c r="AQ106" i="15"/>
  <c r="AR106" i="15"/>
  <c r="AS106" i="15"/>
  <c r="AQ107" i="15"/>
  <c r="AR107" i="15"/>
  <c r="AS107" i="15"/>
  <c r="AQ108" i="15"/>
  <c r="AR108" i="15"/>
  <c r="AS108" i="15"/>
  <c r="AN74" i="15"/>
  <c r="AO74" i="15"/>
  <c r="AP74" i="15"/>
  <c r="AN75" i="15"/>
  <c r="AO75" i="15"/>
  <c r="AP75" i="15"/>
  <c r="AN76" i="15"/>
  <c r="AO76" i="15"/>
  <c r="AP76" i="15"/>
  <c r="AN77" i="15"/>
  <c r="AO77" i="15"/>
  <c r="AP77" i="15"/>
  <c r="AN78" i="15"/>
  <c r="AO78" i="15"/>
  <c r="AP78" i="15"/>
  <c r="AN79" i="15"/>
  <c r="AO79" i="15"/>
  <c r="AP79" i="15"/>
  <c r="AN80" i="15"/>
  <c r="AO80" i="15"/>
  <c r="AP80" i="15"/>
  <c r="AN81" i="15"/>
  <c r="AO81" i="15"/>
  <c r="AP81" i="15"/>
  <c r="AN82" i="15"/>
  <c r="AO82" i="15"/>
  <c r="AP82" i="15"/>
  <c r="AN83" i="15"/>
  <c r="AO83" i="15"/>
  <c r="AP83" i="15"/>
  <c r="AN84" i="15"/>
  <c r="AO84" i="15"/>
  <c r="AP84" i="15"/>
  <c r="AN85" i="15"/>
  <c r="AO85" i="15"/>
  <c r="AP85" i="15"/>
  <c r="AN86" i="15"/>
  <c r="AO86" i="15"/>
  <c r="AP86" i="15"/>
  <c r="AN87" i="15"/>
  <c r="AO87" i="15"/>
  <c r="AP87" i="15"/>
  <c r="AN88" i="15"/>
  <c r="AO88" i="15"/>
  <c r="AP88" i="15"/>
  <c r="AN89" i="15"/>
  <c r="AO89" i="15"/>
  <c r="AP89" i="15"/>
  <c r="AN90" i="15"/>
  <c r="AO90" i="15"/>
  <c r="AP90" i="15"/>
  <c r="AN91" i="15"/>
  <c r="AO91" i="15"/>
  <c r="AP91" i="15"/>
  <c r="AN92" i="15"/>
  <c r="AO92" i="15"/>
  <c r="AP92" i="15"/>
  <c r="AN93" i="15"/>
  <c r="AO93" i="15"/>
  <c r="AP93" i="15"/>
  <c r="AN94" i="15"/>
  <c r="AO94" i="15"/>
  <c r="AP94" i="15"/>
  <c r="AN95" i="15"/>
  <c r="AO95" i="15"/>
  <c r="AP95" i="15"/>
  <c r="AN96" i="15"/>
  <c r="AO96" i="15"/>
  <c r="AP96" i="15"/>
  <c r="AN97" i="15"/>
  <c r="AO97" i="15"/>
  <c r="AP97" i="15"/>
  <c r="AN98" i="15"/>
  <c r="AO98" i="15"/>
  <c r="AP98" i="15"/>
  <c r="AN99" i="15"/>
  <c r="AO99" i="15"/>
  <c r="AP99" i="15"/>
  <c r="AN100" i="15"/>
  <c r="AO100" i="15"/>
  <c r="AP100" i="15"/>
  <c r="AN101" i="15"/>
  <c r="AO101" i="15"/>
  <c r="AP101" i="15"/>
  <c r="AN102" i="15"/>
  <c r="AO102" i="15"/>
  <c r="AP102" i="15"/>
  <c r="AN103" i="15"/>
  <c r="AO103" i="15"/>
  <c r="AP103" i="15"/>
  <c r="AN104" i="15"/>
  <c r="AO104" i="15"/>
  <c r="AP104" i="15"/>
  <c r="AN105" i="15"/>
  <c r="AO105" i="15"/>
  <c r="AP105" i="15"/>
  <c r="AN106" i="15"/>
  <c r="AO106" i="15"/>
  <c r="AP106" i="15"/>
  <c r="AN107" i="15"/>
  <c r="AO107" i="15"/>
  <c r="AP107" i="15"/>
  <c r="AN108" i="15"/>
  <c r="AO108" i="15"/>
  <c r="AP108" i="15"/>
  <c r="AK74" i="15"/>
  <c r="AL74" i="15"/>
  <c r="AM74" i="15"/>
  <c r="AK75" i="15"/>
  <c r="AL75" i="15"/>
  <c r="AM75" i="15"/>
  <c r="AK76" i="15"/>
  <c r="AL76" i="15"/>
  <c r="AM76" i="15"/>
  <c r="AK77" i="15"/>
  <c r="AL77" i="15"/>
  <c r="AM77" i="15"/>
  <c r="AK78" i="15"/>
  <c r="AL78" i="15"/>
  <c r="AM78" i="15"/>
  <c r="AK79" i="15"/>
  <c r="AL79" i="15"/>
  <c r="AM79" i="15"/>
  <c r="AK80" i="15"/>
  <c r="AL80" i="15"/>
  <c r="AM80" i="15"/>
  <c r="AK81" i="15"/>
  <c r="AL81" i="15"/>
  <c r="AM81" i="15"/>
  <c r="AK82" i="15"/>
  <c r="AL82" i="15"/>
  <c r="AM82" i="15"/>
  <c r="AK83" i="15"/>
  <c r="AL83" i="15"/>
  <c r="AM83" i="15"/>
  <c r="AK84" i="15"/>
  <c r="AL84" i="15"/>
  <c r="AM84" i="15"/>
  <c r="AK85" i="15"/>
  <c r="AL85" i="15"/>
  <c r="AM85" i="15"/>
  <c r="AK86" i="15"/>
  <c r="AL86" i="15"/>
  <c r="AM86" i="15"/>
  <c r="AK87" i="15"/>
  <c r="AL87" i="15"/>
  <c r="AM87" i="15"/>
  <c r="AK88" i="15"/>
  <c r="AL88" i="15"/>
  <c r="AM88" i="15"/>
  <c r="AK89" i="15"/>
  <c r="AL89" i="15"/>
  <c r="AM89" i="15"/>
  <c r="AK90" i="15"/>
  <c r="AL90" i="15"/>
  <c r="AM90" i="15"/>
  <c r="AK91" i="15"/>
  <c r="AL91" i="15"/>
  <c r="AM91" i="15"/>
  <c r="AK92" i="15"/>
  <c r="AL92" i="15"/>
  <c r="AM92" i="15"/>
  <c r="AK93" i="15"/>
  <c r="AL93" i="15"/>
  <c r="AM93" i="15"/>
  <c r="AK94" i="15"/>
  <c r="AL94" i="15"/>
  <c r="AM94" i="15"/>
  <c r="AK95" i="15"/>
  <c r="AL95" i="15"/>
  <c r="AM95" i="15"/>
  <c r="AK96" i="15"/>
  <c r="AL96" i="15"/>
  <c r="AM96" i="15"/>
  <c r="AK97" i="15"/>
  <c r="AL97" i="15"/>
  <c r="AM97" i="15"/>
  <c r="AK98" i="15"/>
  <c r="AL98" i="15"/>
  <c r="AM98" i="15"/>
  <c r="AK99" i="15"/>
  <c r="AL99" i="15"/>
  <c r="AM99" i="15"/>
  <c r="AK100" i="15"/>
  <c r="AL100" i="15"/>
  <c r="AM100" i="15"/>
  <c r="AK101" i="15"/>
  <c r="AL101" i="15"/>
  <c r="AM101" i="15"/>
  <c r="AK102" i="15"/>
  <c r="AL102" i="15"/>
  <c r="AM102" i="15"/>
  <c r="AK103" i="15"/>
  <c r="AL103" i="15"/>
  <c r="AM103" i="15"/>
  <c r="AK104" i="15"/>
  <c r="AL104" i="15"/>
  <c r="AM104" i="15"/>
  <c r="AK105" i="15"/>
  <c r="AL105" i="15"/>
  <c r="AM105" i="15"/>
  <c r="AK106" i="15"/>
  <c r="AL106" i="15"/>
  <c r="AM106" i="15"/>
  <c r="AK107" i="15"/>
  <c r="AL107" i="15"/>
  <c r="AM107" i="15"/>
  <c r="AK108" i="15"/>
  <c r="AL108" i="15"/>
  <c r="AM108" i="15"/>
  <c r="AH74" i="15"/>
  <c r="AI74" i="15"/>
  <c r="AJ74" i="15"/>
  <c r="AH75" i="15"/>
  <c r="AI75" i="15"/>
  <c r="AJ75" i="15"/>
  <c r="AH76" i="15"/>
  <c r="AI76" i="15"/>
  <c r="AJ76" i="15"/>
  <c r="AH77" i="15"/>
  <c r="AI77" i="15"/>
  <c r="AJ77" i="15"/>
  <c r="AH78" i="15"/>
  <c r="AI78" i="15"/>
  <c r="AJ78" i="15"/>
  <c r="AH79" i="15"/>
  <c r="AI79" i="15"/>
  <c r="AJ79" i="15"/>
  <c r="AH80" i="15"/>
  <c r="AI80" i="15"/>
  <c r="AJ80" i="15"/>
  <c r="AH81" i="15"/>
  <c r="AI81" i="15"/>
  <c r="AJ81" i="15"/>
  <c r="AH82" i="15"/>
  <c r="AI82" i="15"/>
  <c r="AJ82" i="15"/>
  <c r="AH83" i="15"/>
  <c r="AI83" i="15"/>
  <c r="AJ83" i="15"/>
  <c r="AH84" i="15"/>
  <c r="AI84" i="15"/>
  <c r="AJ84" i="15"/>
  <c r="AH85" i="15"/>
  <c r="AI85" i="15"/>
  <c r="AJ85" i="15"/>
  <c r="AH86" i="15"/>
  <c r="AI86" i="15"/>
  <c r="AJ86" i="15"/>
  <c r="AH87" i="15"/>
  <c r="AI87" i="15"/>
  <c r="AJ87" i="15"/>
  <c r="AH88" i="15"/>
  <c r="AI88" i="15"/>
  <c r="AJ88" i="15"/>
  <c r="AH89" i="15"/>
  <c r="AI89" i="15"/>
  <c r="AJ89" i="15"/>
  <c r="AH90" i="15"/>
  <c r="AI90" i="15"/>
  <c r="AJ90" i="15"/>
  <c r="AH91" i="15"/>
  <c r="AI91" i="15"/>
  <c r="AJ91" i="15"/>
  <c r="AH92" i="15"/>
  <c r="AI92" i="15"/>
  <c r="AJ92" i="15"/>
  <c r="AH93" i="15"/>
  <c r="AI93" i="15"/>
  <c r="AJ93" i="15"/>
  <c r="AH94" i="15"/>
  <c r="AI94" i="15"/>
  <c r="AJ94" i="15"/>
  <c r="AH95" i="15"/>
  <c r="AI95" i="15"/>
  <c r="AJ95" i="15"/>
  <c r="AH96" i="15"/>
  <c r="AI96" i="15"/>
  <c r="AJ96" i="15"/>
  <c r="AH97" i="15"/>
  <c r="AI97" i="15"/>
  <c r="AJ97" i="15"/>
  <c r="AH98" i="15"/>
  <c r="AI98" i="15"/>
  <c r="AJ98" i="15"/>
  <c r="AH99" i="15"/>
  <c r="AI99" i="15"/>
  <c r="AJ99" i="15"/>
  <c r="AH100" i="15"/>
  <c r="AI100" i="15"/>
  <c r="AJ100" i="15"/>
  <c r="AH101" i="15"/>
  <c r="AI101" i="15"/>
  <c r="AJ101" i="15"/>
  <c r="AH102" i="15"/>
  <c r="AI102" i="15"/>
  <c r="AJ102" i="15"/>
  <c r="AH103" i="15"/>
  <c r="AI103" i="15"/>
  <c r="AJ103" i="15"/>
  <c r="AH104" i="15"/>
  <c r="AI104" i="15"/>
  <c r="AJ104" i="15"/>
  <c r="AH105" i="15"/>
  <c r="AI105" i="15"/>
  <c r="AJ105" i="15"/>
  <c r="AH106" i="15"/>
  <c r="AI106" i="15"/>
  <c r="AJ106" i="15"/>
  <c r="AH107" i="15"/>
  <c r="AI107" i="15"/>
  <c r="AJ107" i="15"/>
  <c r="AH108" i="15"/>
  <c r="AI108" i="15"/>
  <c r="AJ108" i="15"/>
  <c r="AE74" i="15"/>
  <c r="AF74" i="15"/>
  <c r="AG74" i="15"/>
  <c r="AE75" i="15"/>
  <c r="AF75" i="15"/>
  <c r="AG75" i="15"/>
  <c r="AE76" i="15"/>
  <c r="AF76" i="15"/>
  <c r="AG76" i="15"/>
  <c r="AE77" i="15"/>
  <c r="AF77" i="15"/>
  <c r="AG77" i="15"/>
  <c r="AE78" i="15"/>
  <c r="AF78" i="15"/>
  <c r="AG78" i="15"/>
  <c r="AE79" i="15"/>
  <c r="AF79" i="15"/>
  <c r="AG79" i="15"/>
  <c r="AE80" i="15"/>
  <c r="AF80" i="15"/>
  <c r="AG80" i="15"/>
  <c r="AE81" i="15"/>
  <c r="AF81" i="15"/>
  <c r="AG81" i="15"/>
  <c r="AE82" i="15"/>
  <c r="AF82" i="15"/>
  <c r="AG82" i="15"/>
  <c r="AE83" i="15"/>
  <c r="AF83" i="15"/>
  <c r="AG83" i="15"/>
  <c r="AE84" i="15"/>
  <c r="AF84" i="15"/>
  <c r="AG84" i="15"/>
  <c r="AE85" i="15"/>
  <c r="AF85" i="15"/>
  <c r="AG85" i="15"/>
  <c r="AE86" i="15"/>
  <c r="AF86" i="15"/>
  <c r="AG86" i="15"/>
  <c r="AE87" i="15"/>
  <c r="AF87" i="15"/>
  <c r="AG87" i="15"/>
  <c r="AE88" i="15"/>
  <c r="AF88" i="15"/>
  <c r="AG88" i="15"/>
  <c r="AE89" i="15"/>
  <c r="AF89" i="15"/>
  <c r="AG89" i="15"/>
  <c r="AE90" i="15"/>
  <c r="AF90" i="15"/>
  <c r="AG90" i="15"/>
  <c r="AE91" i="15"/>
  <c r="AF91" i="15"/>
  <c r="AG91" i="15"/>
  <c r="AE92" i="15"/>
  <c r="AF92" i="15"/>
  <c r="AG92" i="15"/>
  <c r="AE93" i="15"/>
  <c r="AF93" i="15"/>
  <c r="AG93" i="15"/>
  <c r="AE94" i="15"/>
  <c r="AF94" i="15"/>
  <c r="AG94" i="15"/>
  <c r="AE95" i="15"/>
  <c r="AF95" i="15"/>
  <c r="AG95" i="15"/>
  <c r="AE96" i="15"/>
  <c r="AF96" i="15"/>
  <c r="AG96" i="15"/>
  <c r="AE97" i="15"/>
  <c r="AF97" i="15"/>
  <c r="AG97" i="15"/>
  <c r="AE98" i="15"/>
  <c r="AF98" i="15"/>
  <c r="AG98" i="15"/>
  <c r="AE99" i="15"/>
  <c r="AF99" i="15"/>
  <c r="AG99" i="15"/>
  <c r="AE100" i="15"/>
  <c r="AF100" i="15"/>
  <c r="AG100" i="15"/>
  <c r="AE101" i="15"/>
  <c r="AF101" i="15"/>
  <c r="AG101" i="15"/>
  <c r="AE102" i="15"/>
  <c r="AF102" i="15"/>
  <c r="AG102" i="15"/>
  <c r="AE103" i="15"/>
  <c r="AF103" i="15"/>
  <c r="AG103" i="15"/>
  <c r="AE104" i="15"/>
  <c r="AF104" i="15"/>
  <c r="AG104" i="15"/>
  <c r="AE105" i="15"/>
  <c r="AF105" i="15"/>
  <c r="AG105" i="15"/>
  <c r="AE106" i="15"/>
  <c r="AF106" i="15"/>
  <c r="AG106" i="15"/>
  <c r="AE107" i="15"/>
  <c r="AF107" i="15"/>
  <c r="AG107" i="15"/>
  <c r="AE108" i="15"/>
  <c r="AF108" i="15"/>
  <c r="AG108" i="15"/>
  <c r="AB72" i="15"/>
  <c r="AC72" i="15"/>
  <c r="AD72" i="15"/>
  <c r="AB74" i="15"/>
  <c r="AC74" i="15"/>
  <c r="AD74" i="15"/>
  <c r="AB75" i="15"/>
  <c r="AC75" i="15"/>
  <c r="AD75" i="15"/>
  <c r="AB76" i="15"/>
  <c r="AC76" i="15"/>
  <c r="AD76" i="15"/>
  <c r="AB77" i="15"/>
  <c r="AC77" i="15"/>
  <c r="AD77" i="15"/>
  <c r="AB78" i="15"/>
  <c r="AC78" i="15"/>
  <c r="AD78" i="15"/>
  <c r="AB79" i="15"/>
  <c r="AC79" i="15"/>
  <c r="AD79" i="15"/>
  <c r="AB80" i="15"/>
  <c r="AC80" i="15"/>
  <c r="AD80" i="15"/>
  <c r="AB81" i="15"/>
  <c r="AC81" i="15"/>
  <c r="AD81" i="15"/>
  <c r="AB82" i="15"/>
  <c r="AC82" i="15"/>
  <c r="AD82" i="15"/>
  <c r="AB83" i="15"/>
  <c r="AC83" i="15"/>
  <c r="AD83" i="15"/>
  <c r="AB84" i="15"/>
  <c r="AC84" i="15"/>
  <c r="AD84" i="15"/>
  <c r="AB85" i="15"/>
  <c r="AC85" i="15"/>
  <c r="AD85" i="15"/>
  <c r="AB86" i="15"/>
  <c r="AC86" i="15"/>
  <c r="AD86" i="15"/>
  <c r="AB87" i="15"/>
  <c r="AC87" i="15"/>
  <c r="AD87" i="15"/>
  <c r="AB88" i="15"/>
  <c r="AC88" i="15"/>
  <c r="AD88" i="15"/>
  <c r="AB89" i="15"/>
  <c r="AC89" i="15"/>
  <c r="AD89" i="15"/>
  <c r="AB90" i="15"/>
  <c r="AC90" i="15"/>
  <c r="AD90" i="15"/>
  <c r="AB91" i="15"/>
  <c r="AC91" i="15"/>
  <c r="AD91" i="15"/>
  <c r="AB92" i="15"/>
  <c r="AC92" i="15"/>
  <c r="AD92" i="15"/>
  <c r="AB93" i="15"/>
  <c r="AC93" i="15"/>
  <c r="AD93" i="15"/>
  <c r="AB94" i="15"/>
  <c r="AC94" i="15"/>
  <c r="AD94" i="15"/>
  <c r="AB95" i="15"/>
  <c r="AC95" i="15"/>
  <c r="AD95" i="15"/>
  <c r="AB96" i="15"/>
  <c r="AC96" i="15"/>
  <c r="AD96" i="15"/>
  <c r="AB97" i="15"/>
  <c r="AC97" i="15"/>
  <c r="AD97" i="15"/>
  <c r="AB98" i="15"/>
  <c r="AC98" i="15"/>
  <c r="AD98" i="15"/>
  <c r="AB99" i="15"/>
  <c r="AC99" i="15"/>
  <c r="AD99" i="15"/>
  <c r="AB100" i="15"/>
  <c r="AC100" i="15"/>
  <c r="AD100" i="15"/>
  <c r="AB101" i="15"/>
  <c r="AC101" i="15"/>
  <c r="AD101" i="15"/>
  <c r="AB102" i="15"/>
  <c r="AC102" i="15"/>
  <c r="AD102" i="15"/>
  <c r="AB103" i="15"/>
  <c r="AC103" i="15"/>
  <c r="AD103" i="15"/>
  <c r="AB104" i="15"/>
  <c r="AC104" i="15"/>
  <c r="AD104" i="15"/>
  <c r="AB105" i="15"/>
  <c r="AC105" i="15"/>
  <c r="AD105" i="15"/>
  <c r="AB106" i="15"/>
  <c r="AC106" i="15"/>
  <c r="AD106" i="15"/>
  <c r="AB107" i="15"/>
  <c r="AC107" i="15"/>
  <c r="AD107" i="15"/>
  <c r="AB108" i="15"/>
  <c r="AC108" i="15"/>
  <c r="AD108" i="15"/>
  <c r="BO22" i="15"/>
  <c r="BP22" i="15"/>
  <c r="BQ22" i="15"/>
  <c r="BO23" i="15"/>
  <c r="BP23" i="15"/>
  <c r="BQ23" i="15"/>
  <c r="BO24" i="15"/>
  <c r="BP24" i="15"/>
  <c r="BQ24" i="15"/>
  <c r="BO25" i="15"/>
  <c r="BP25" i="15"/>
  <c r="BQ25" i="15"/>
  <c r="BO26" i="15"/>
  <c r="BP26" i="15"/>
  <c r="BQ26" i="15"/>
  <c r="BO27" i="15"/>
  <c r="BP27" i="15"/>
  <c r="BQ27" i="15"/>
  <c r="BO28" i="15"/>
  <c r="BP28" i="15"/>
  <c r="BQ28" i="15"/>
  <c r="BO29" i="15"/>
  <c r="BP29" i="15"/>
  <c r="BQ29" i="15"/>
  <c r="BO30" i="15"/>
  <c r="BP30" i="15"/>
  <c r="BQ30" i="15"/>
  <c r="BO31" i="15"/>
  <c r="BP31" i="15"/>
  <c r="BQ31" i="15"/>
  <c r="BO32" i="15"/>
  <c r="BP32" i="15"/>
  <c r="BQ32" i="15"/>
  <c r="BO33" i="15"/>
  <c r="BP33" i="15"/>
  <c r="BQ33" i="15"/>
  <c r="BO34" i="15"/>
  <c r="BP34" i="15"/>
  <c r="BQ34" i="15"/>
  <c r="BO35" i="15"/>
  <c r="BP35" i="15"/>
  <c r="BQ35" i="15"/>
  <c r="BO36" i="15"/>
  <c r="BP36" i="15"/>
  <c r="BQ36" i="15"/>
  <c r="BO37" i="15"/>
  <c r="BP37" i="15"/>
  <c r="BQ37" i="15"/>
  <c r="BO38" i="15"/>
  <c r="BP38" i="15"/>
  <c r="BQ38" i="15"/>
  <c r="BO39" i="15"/>
  <c r="BP39" i="15"/>
  <c r="BQ39" i="15"/>
  <c r="BO40" i="15"/>
  <c r="BP40" i="15"/>
  <c r="BQ40" i="15"/>
  <c r="BO41" i="15"/>
  <c r="BP41" i="15"/>
  <c r="BQ41" i="15"/>
  <c r="BO42" i="15"/>
  <c r="BP42" i="15"/>
  <c r="BQ42" i="15"/>
  <c r="BO43" i="15"/>
  <c r="BP43" i="15"/>
  <c r="BQ43" i="15"/>
  <c r="BO44" i="15"/>
  <c r="BP44" i="15"/>
  <c r="BQ44" i="15"/>
  <c r="BO45" i="15"/>
  <c r="BP45" i="15"/>
  <c r="BQ45" i="15"/>
  <c r="BO46" i="15"/>
  <c r="BP46" i="15"/>
  <c r="BQ46" i="15"/>
  <c r="BO47" i="15"/>
  <c r="BP47" i="15"/>
  <c r="BQ47" i="15"/>
  <c r="BO48" i="15"/>
  <c r="BP48" i="15"/>
  <c r="BQ48" i="15"/>
  <c r="BO49" i="15"/>
  <c r="BP49" i="15"/>
  <c r="BQ49" i="15"/>
  <c r="BO50" i="15"/>
  <c r="BP50" i="15"/>
  <c r="BQ50" i="15"/>
  <c r="BO51" i="15"/>
  <c r="BP51" i="15"/>
  <c r="BQ51" i="15"/>
  <c r="BO52" i="15"/>
  <c r="BP52" i="15"/>
  <c r="BQ52" i="15"/>
  <c r="BO53" i="15"/>
  <c r="BP53" i="15"/>
  <c r="BQ53" i="15"/>
  <c r="BO54" i="15"/>
  <c r="BP54" i="15"/>
  <c r="BQ54" i="15"/>
  <c r="BO55" i="15"/>
  <c r="BP55" i="15"/>
  <c r="BQ55" i="15"/>
  <c r="BO56" i="15"/>
  <c r="BP56" i="15"/>
  <c r="BQ56" i="15"/>
  <c r="BO57" i="15"/>
  <c r="BP57" i="15"/>
  <c r="BQ57" i="15"/>
  <c r="BO58" i="15"/>
  <c r="BP58" i="15"/>
  <c r="BQ58" i="15"/>
  <c r="BO59" i="15"/>
  <c r="BP59" i="15"/>
  <c r="BQ59" i="15"/>
  <c r="BO60" i="15"/>
  <c r="BP60" i="15"/>
  <c r="BQ60" i="15"/>
  <c r="BO61" i="15"/>
  <c r="BP61" i="15"/>
  <c r="BQ61" i="15"/>
  <c r="BO62" i="15"/>
  <c r="BP62" i="15"/>
  <c r="BQ62" i="15"/>
  <c r="BQ21" i="15"/>
  <c r="BP21" i="15"/>
  <c r="BO21" i="15"/>
  <c r="BL22" i="15"/>
  <c r="BM22" i="15"/>
  <c r="BN22" i="15"/>
  <c r="BL23" i="15"/>
  <c r="BM23" i="15"/>
  <c r="BN23" i="15"/>
  <c r="BL24" i="15"/>
  <c r="BM24" i="15"/>
  <c r="BN24" i="15"/>
  <c r="BL25" i="15"/>
  <c r="BM25" i="15"/>
  <c r="BN25" i="15"/>
  <c r="BL26" i="15"/>
  <c r="BM26" i="15"/>
  <c r="BN26" i="15"/>
  <c r="BL27" i="15"/>
  <c r="BM27" i="15"/>
  <c r="BN27" i="15"/>
  <c r="BL28" i="15"/>
  <c r="BM28" i="15"/>
  <c r="BN28" i="15"/>
  <c r="BL29" i="15"/>
  <c r="BM29" i="15"/>
  <c r="BN29" i="15"/>
  <c r="BL30" i="15"/>
  <c r="BM30" i="15"/>
  <c r="BN30" i="15"/>
  <c r="BL31" i="15"/>
  <c r="BM31" i="15"/>
  <c r="BN31" i="15"/>
  <c r="BL32" i="15"/>
  <c r="BM32" i="15"/>
  <c r="BN32" i="15"/>
  <c r="BL33" i="15"/>
  <c r="BM33" i="15"/>
  <c r="BN33" i="15"/>
  <c r="BL34" i="15"/>
  <c r="BM34" i="15"/>
  <c r="BN34" i="15"/>
  <c r="BL35" i="15"/>
  <c r="BM35" i="15"/>
  <c r="BN35" i="15"/>
  <c r="BL36" i="15"/>
  <c r="BM36" i="15"/>
  <c r="BN36" i="15"/>
  <c r="BL37" i="15"/>
  <c r="BM37" i="15"/>
  <c r="BN37" i="15"/>
  <c r="BL38" i="15"/>
  <c r="BM38" i="15"/>
  <c r="BN38" i="15"/>
  <c r="BL39" i="15"/>
  <c r="BM39" i="15"/>
  <c r="BN39" i="15"/>
  <c r="BL40" i="15"/>
  <c r="BM40" i="15"/>
  <c r="BN40" i="15"/>
  <c r="BL41" i="15"/>
  <c r="BM41" i="15"/>
  <c r="BN41" i="15"/>
  <c r="BL42" i="15"/>
  <c r="BM42" i="15"/>
  <c r="BN42" i="15"/>
  <c r="BL43" i="15"/>
  <c r="BM43" i="15"/>
  <c r="BN43" i="15"/>
  <c r="BL44" i="15"/>
  <c r="BM44" i="15"/>
  <c r="BN44" i="15"/>
  <c r="BL45" i="15"/>
  <c r="BM45" i="15"/>
  <c r="BN45" i="15"/>
  <c r="BL46" i="15"/>
  <c r="BM46" i="15"/>
  <c r="BN46" i="15"/>
  <c r="BL47" i="15"/>
  <c r="BM47" i="15"/>
  <c r="BN47" i="15"/>
  <c r="BL48" i="15"/>
  <c r="BM48" i="15"/>
  <c r="BN48" i="15"/>
  <c r="BL49" i="15"/>
  <c r="BM49" i="15"/>
  <c r="BN49" i="15"/>
  <c r="BL50" i="15"/>
  <c r="BM50" i="15"/>
  <c r="BN50" i="15"/>
  <c r="BL51" i="15"/>
  <c r="BM51" i="15"/>
  <c r="BN51" i="15"/>
  <c r="BL52" i="15"/>
  <c r="BM52" i="15"/>
  <c r="BN52" i="15"/>
  <c r="BL53" i="15"/>
  <c r="BM53" i="15"/>
  <c r="BN53" i="15"/>
  <c r="BL54" i="15"/>
  <c r="BM54" i="15"/>
  <c r="BN54" i="15"/>
  <c r="BL55" i="15"/>
  <c r="BM55" i="15"/>
  <c r="BN55" i="15"/>
  <c r="BL56" i="15"/>
  <c r="BM56" i="15"/>
  <c r="BN56" i="15"/>
  <c r="BL57" i="15"/>
  <c r="BM57" i="15"/>
  <c r="BN57" i="15"/>
  <c r="BL58" i="15"/>
  <c r="BM58" i="15"/>
  <c r="BN58" i="15"/>
  <c r="BL59" i="15"/>
  <c r="BM59" i="15"/>
  <c r="BN59" i="15"/>
  <c r="BL60" i="15"/>
  <c r="BM60" i="15"/>
  <c r="BN60" i="15"/>
  <c r="BL61" i="15"/>
  <c r="BM61" i="15"/>
  <c r="BN61" i="15"/>
  <c r="BL62" i="15"/>
  <c r="BM62" i="15"/>
  <c r="BN62" i="15"/>
  <c r="BN21" i="15"/>
  <c r="BM21" i="15"/>
  <c r="BL21" i="15"/>
  <c r="BI22" i="15"/>
  <c r="BJ22" i="15"/>
  <c r="BK22" i="15"/>
  <c r="BI23" i="15"/>
  <c r="BJ23" i="15"/>
  <c r="BK23" i="15"/>
  <c r="BI24" i="15"/>
  <c r="BJ24" i="15"/>
  <c r="BK24" i="15"/>
  <c r="BI25" i="15"/>
  <c r="BJ25" i="15"/>
  <c r="BK25" i="15"/>
  <c r="BI26" i="15"/>
  <c r="BJ26" i="15"/>
  <c r="BK26" i="15"/>
  <c r="BI27" i="15"/>
  <c r="BJ27" i="15"/>
  <c r="BK27" i="15"/>
  <c r="BI28" i="15"/>
  <c r="BJ28" i="15"/>
  <c r="BK28" i="15"/>
  <c r="BI29" i="15"/>
  <c r="BJ29" i="15"/>
  <c r="BK29" i="15"/>
  <c r="BI30" i="15"/>
  <c r="BJ30" i="15"/>
  <c r="BK30" i="15"/>
  <c r="BI31" i="15"/>
  <c r="BJ31" i="15"/>
  <c r="BK31" i="15"/>
  <c r="BI32" i="15"/>
  <c r="BJ32" i="15"/>
  <c r="BK32" i="15"/>
  <c r="BI33" i="15"/>
  <c r="BJ33" i="15"/>
  <c r="BK33" i="15"/>
  <c r="BI34" i="15"/>
  <c r="BJ34" i="15"/>
  <c r="BK34" i="15"/>
  <c r="BI35" i="15"/>
  <c r="BJ35" i="15"/>
  <c r="BK35" i="15"/>
  <c r="BI36" i="15"/>
  <c r="BJ36" i="15"/>
  <c r="BK36" i="15"/>
  <c r="BI37" i="15"/>
  <c r="BJ37" i="15"/>
  <c r="BK37" i="15"/>
  <c r="BI38" i="15"/>
  <c r="BJ38" i="15"/>
  <c r="BK38" i="15"/>
  <c r="BI39" i="15"/>
  <c r="BJ39" i="15"/>
  <c r="BK39" i="15"/>
  <c r="BI40" i="15"/>
  <c r="BJ40" i="15"/>
  <c r="BK40" i="15"/>
  <c r="BI41" i="15"/>
  <c r="BJ41" i="15"/>
  <c r="BK41" i="15"/>
  <c r="BI42" i="15"/>
  <c r="BJ42" i="15"/>
  <c r="BK42" i="15"/>
  <c r="BI43" i="15"/>
  <c r="BJ43" i="15"/>
  <c r="BK43" i="15"/>
  <c r="BI44" i="15"/>
  <c r="BJ44" i="15"/>
  <c r="BK44" i="15"/>
  <c r="BI45" i="15"/>
  <c r="BJ45" i="15"/>
  <c r="BK45" i="15"/>
  <c r="BI46" i="15"/>
  <c r="BJ46" i="15"/>
  <c r="BK46" i="15"/>
  <c r="BI47" i="15"/>
  <c r="BJ47" i="15"/>
  <c r="BK47" i="15"/>
  <c r="BI48" i="15"/>
  <c r="BJ48" i="15"/>
  <c r="BK48" i="15"/>
  <c r="BI49" i="15"/>
  <c r="BJ49" i="15"/>
  <c r="BK49" i="15"/>
  <c r="BI50" i="15"/>
  <c r="BJ50" i="15"/>
  <c r="BK50" i="15"/>
  <c r="BI51" i="15"/>
  <c r="BJ51" i="15"/>
  <c r="BK51" i="15"/>
  <c r="BI52" i="15"/>
  <c r="BJ52" i="15"/>
  <c r="BK52" i="15"/>
  <c r="BI53" i="15"/>
  <c r="BJ53" i="15"/>
  <c r="BK53" i="15"/>
  <c r="BI54" i="15"/>
  <c r="BJ54" i="15"/>
  <c r="BK54" i="15"/>
  <c r="BI55" i="15"/>
  <c r="BJ55" i="15"/>
  <c r="BK55" i="15"/>
  <c r="BI56" i="15"/>
  <c r="BJ56" i="15"/>
  <c r="BK56" i="15"/>
  <c r="BI57" i="15"/>
  <c r="BJ57" i="15"/>
  <c r="BK57" i="15"/>
  <c r="BI58" i="15"/>
  <c r="BJ58" i="15"/>
  <c r="BK58" i="15"/>
  <c r="BI59" i="15"/>
  <c r="BJ59" i="15"/>
  <c r="BK59" i="15"/>
  <c r="BI60" i="15"/>
  <c r="BJ60" i="15"/>
  <c r="BK60" i="15"/>
  <c r="BI61" i="15"/>
  <c r="BJ61" i="15"/>
  <c r="BK61" i="15"/>
  <c r="BI62" i="15"/>
  <c r="BJ62" i="15"/>
  <c r="BK62" i="15"/>
  <c r="BK21" i="15"/>
  <c r="BJ21" i="15"/>
  <c r="BI21" i="15"/>
  <c r="BF22" i="15"/>
  <c r="BG22" i="15"/>
  <c r="BH22" i="15"/>
  <c r="BF23" i="15"/>
  <c r="BG23" i="15"/>
  <c r="BH23" i="15"/>
  <c r="BF24" i="15"/>
  <c r="BG24" i="15"/>
  <c r="BH24" i="15"/>
  <c r="BF25" i="15"/>
  <c r="BG25" i="15"/>
  <c r="BH25" i="15"/>
  <c r="BF26" i="15"/>
  <c r="BG26" i="15"/>
  <c r="BH26" i="15"/>
  <c r="BF27" i="15"/>
  <c r="BG27" i="15"/>
  <c r="BH27" i="15"/>
  <c r="BF28" i="15"/>
  <c r="BG28" i="15"/>
  <c r="BH28" i="15"/>
  <c r="BF29" i="15"/>
  <c r="BG29" i="15"/>
  <c r="BH29" i="15"/>
  <c r="BF30" i="15"/>
  <c r="BG30" i="15"/>
  <c r="BH30" i="15"/>
  <c r="BF31" i="15"/>
  <c r="BG31" i="15"/>
  <c r="BH31" i="15"/>
  <c r="BF32" i="15"/>
  <c r="BG32" i="15"/>
  <c r="BH32" i="15"/>
  <c r="BF33" i="15"/>
  <c r="BG33" i="15"/>
  <c r="BH33" i="15"/>
  <c r="BF34" i="15"/>
  <c r="BG34" i="15"/>
  <c r="BH34" i="15"/>
  <c r="BF35" i="15"/>
  <c r="BG35" i="15"/>
  <c r="BH35" i="15"/>
  <c r="BF36" i="15"/>
  <c r="BG36" i="15"/>
  <c r="BH36" i="15"/>
  <c r="BF37" i="15"/>
  <c r="BG37" i="15"/>
  <c r="BH37" i="15"/>
  <c r="BF38" i="15"/>
  <c r="BG38" i="15"/>
  <c r="BH38" i="15"/>
  <c r="BF39" i="15"/>
  <c r="BG39" i="15"/>
  <c r="BH39" i="15"/>
  <c r="BF40" i="15"/>
  <c r="BG40" i="15"/>
  <c r="BH40" i="15"/>
  <c r="BF41" i="15"/>
  <c r="BG41" i="15"/>
  <c r="BH41" i="15"/>
  <c r="BF42" i="15"/>
  <c r="BG42" i="15"/>
  <c r="BH42" i="15"/>
  <c r="BF43" i="15"/>
  <c r="BG43" i="15"/>
  <c r="BH43" i="15"/>
  <c r="BF44" i="15"/>
  <c r="BG44" i="15"/>
  <c r="BH44" i="15"/>
  <c r="BF45" i="15"/>
  <c r="BG45" i="15"/>
  <c r="BH45" i="15"/>
  <c r="BF46" i="15"/>
  <c r="BG46" i="15"/>
  <c r="BH46" i="15"/>
  <c r="BF47" i="15"/>
  <c r="BG47" i="15"/>
  <c r="BH47" i="15"/>
  <c r="BF48" i="15"/>
  <c r="BG48" i="15"/>
  <c r="BH48" i="15"/>
  <c r="BF49" i="15"/>
  <c r="BG49" i="15"/>
  <c r="BH49" i="15"/>
  <c r="BF50" i="15"/>
  <c r="BG50" i="15"/>
  <c r="BH50" i="15"/>
  <c r="BF51" i="15"/>
  <c r="BG51" i="15"/>
  <c r="BH51" i="15"/>
  <c r="BF52" i="15"/>
  <c r="BG52" i="15"/>
  <c r="BH52" i="15"/>
  <c r="BF53" i="15"/>
  <c r="BG53" i="15"/>
  <c r="BH53" i="15"/>
  <c r="BF54" i="15"/>
  <c r="BG54" i="15"/>
  <c r="BH54" i="15"/>
  <c r="BF55" i="15"/>
  <c r="BG55" i="15"/>
  <c r="BH55" i="15"/>
  <c r="BF56" i="15"/>
  <c r="BG56" i="15"/>
  <c r="BH56" i="15"/>
  <c r="BF57" i="15"/>
  <c r="BG57" i="15"/>
  <c r="BH57" i="15"/>
  <c r="BF58" i="15"/>
  <c r="BG58" i="15"/>
  <c r="BH58" i="15"/>
  <c r="BF59" i="15"/>
  <c r="BG59" i="15"/>
  <c r="BH59" i="15"/>
  <c r="BF60" i="15"/>
  <c r="BG60" i="15"/>
  <c r="BH60" i="15"/>
  <c r="BF61" i="15"/>
  <c r="BG61" i="15"/>
  <c r="BH61" i="15"/>
  <c r="BF62" i="15"/>
  <c r="BG62" i="15"/>
  <c r="BH62" i="15"/>
  <c r="BH21" i="15"/>
  <c r="BG21" i="15"/>
  <c r="BF21" i="15"/>
  <c r="BC22" i="15"/>
  <c r="BC68" i="15" s="1"/>
  <c r="BD22" i="15"/>
  <c r="BD68" i="15" s="1"/>
  <c r="BE22" i="15"/>
  <c r="BE68" i="15" s="1"/>
  <c r="BC23" i="15"/>
  <c r="BC69" i="15" s="1"/>
  <c r="BD23" i="15"/>
  <c r="BD69" i="15" s="1"/>
  <c r="BE23" i="15"/>
  <c r="BE69" i="15" s="1"/>
  <c r="BC24" i="15"/>
  <c r="BC70" i="15" s="1"/>
  <c r="BD24" i="15"/>
  <c r="BD70" i="15" s="1"/>
  <c r="BE24" i="15"/>
  <c r="BE70" i="15" s="1"/>
  <c r="BC25" i="15"/>
  <c r="BC71" i="15" s="1"/>
  <c r="BD25" i="15"/>
  <c r="BD71" i="15" s="1"/>
  <c r="BE25" i="15"/>
  <c r="BE71" i="15" s="1"/>
  <c r="BC26" i="15"/>
  <c r="BD26" i="15"/>
  <c r="BE26" i="15"/>
  <c r="BC27" i="15"/>
  <c r="BD27" i="15"/>
  <c r="BE27" i="15"/>
  <c r="BC28" i="15"/>
  <c r="BD28" i="15"/>
  <c r="BE28" i="15"/>
  <c r="BC29" i="15"/>
  <c r="BD29" i="15"/>
  <c r="BE29" i="15"/>
  <c r="BC30" i="15"/>
  <c r="BD30" i="15"/>
  <c r="BE30" i="15"/>
  <c r="BC31" i="15"/>
  <c r="BD31" i="15"/>
  <c r="BE31" i="15"/>
  <c r="BC32" i="15"/>
  <c r="BD32" i="15"/>
  <c r="BE32" i="15"/>
  <c r="BC33" i="15"/>
  <c r="BD33" i="15"/>
  <c r="BE33" i="15"/>
  <c r="BC34" i="15"/>
  <c r="BD34" i="15"/>
  <c r="BE34" i="15"/>
  <c r="BC35" i="15"/>
  <c r="BD35" i="15"/>
  <c r="BE35" i="15"/>
  <c r="BC36" i="15"/>
  <c r="BD36" i="15"/>
  <c r="BE36" i="15"/>
  <c r="BC37" i="15"/>
  <c r="BD37" i="15"/>
  <c r="BE37" i="15"/>
  <c r="BC38" i="15"/>
  <c r="BD38" i="15"/>
  <c r="BE38" i="15"/>
  <c r="BC39" i="15"/>
  <c r="BD39" i="15"/>
  <c r="BE39" i="15"/>
  <c r="BC40" i="15"/>
  <c r="BD40" i="15"/>
  <c r="BE40" i="15"/>
  <c r="BC41" i="15"/>
  <c r="BD41" i="15"/>
  <c r="BE41" i="15"/>
  <c r="BC42" i="15"/>
  <c r="BD42" i="15"/>
  <c r="BE42" i="15"/>
  <c r="BC43" i="15"/>
  <c r="BD43" i="15"/>
  <c r="BE43" i="15"/>
  <c r="BC44" i="15"/>
  <c r="BD44" i="15"/>
  <c r="BE44" i="15"/>
  <c r="BC45" i="15"/>
  <c r="BD45" i="15"/>
  <c r="BE45" i="15"/>
  <c r="BC46" i="15"/>
  <c r="BD46" i="15"/>
  <c r="BE46" i="15"/>
  <c r="BC47" i="15"/>
  <c r="BD47" i="15"/>
  <c r="BE47" i="15"/>
  <c r="BC48" i="15"/>
  <c r="BD48" i="15"/>
  <c r="BE48" i="15"/>
  <c r="BC49" i="15"/>
  <c r="BD49" i="15"/>
  <c r="BE49" i="15"/>
  <c r="BC50" i="15"/>
  <c r="BD50" i="15"/>
  <c r="BE50" i="15"/>
  <c r="BC51" i="15"/>
  <c r="BD51" i="15"/>
  <c r="BE51" i="15"/>
  <c r="BC52" i="15"/>
  <c r="BD52" i="15"/>
  <c r="BE52" i="15"/>
  <c r="BC53" i="15"/>
  <c r="BD53" i="15"/>
  <c r="BE53" i="15"/>
  <c r="BC54" i="15"/>
  <c r="BD54" i="15"/>
  <c r="BE54" i="15"/>
  <c r="BC55" i="15"/>
  <c r="BD55" i="15"/>
  <c r="BE55" i="15"/>
  <c r="BC56" i="15"/>
  <c r="BD56" i="15"/>
  <c r="BE56" i="15"/>
  <c r="BC57" i="15"/>
  <c r="BD57" i="15"/>
  <c r="BE57" i="15"/>
  <c r="BC58" i="15"/>
  <c r="BD58" i="15"/>
  <c r="BE58" i="15"/>
  <c r="BC59" i="15"/>
  <c r="BD59" i="15"/>
  <c r="BE59" i="15"/>
  <c r="BC60" i="15"/>
  <c r="BD60" i="15"/>
  <c r="BE60" i="15"/>
  <c r="BC61" i="15"/>
  <c r="BD61" i="15"/>
  <c r="BE61" i="15"/>
  <c r="BC62" i="15"/>
  <c r="BD62" i="15"/>
  <c r="BE62" i="15"/>
  <c r="BE21" i="15"/>
  <c r="BD21" i="15"/>
  <c r="BC21" i="15"/>
  <c r="AZ22" i="15"/>
  <c r="AZ68" i="15" s="1"/>
  <c r="BA22" i="15"/>
  <c r="BA68" i="15" s="1"/>
  <c r="BB22" i="15"/>
  <c r="BB68" i="15" s="1"/>
  <c r="AZ23" i="15"/>
  <c r="AZ69" i="15" s="1"/>
  <c r="BA23" i="15"/>
  <c r="BA69" i="15" s="1"/>
  <c r="BB23" i="15"/>
  <c r="BB69" i="15" s="1"/>
  <c r="AZ24" i="15"/>
  <c r="AZ70" i="15" s="1"/>
  <c r="BA24" i="15"/>
  <c r="BA70" i="15" s="1"/>
  <c r="BB24" i="15"/>
  <c r="BB70" i="15" s="1"/>
  <c r="AZ25" i="15"/>
  <c r="AZ71" i="15" s="1"/>
  <c r="BA25" i="15"/>
  <c r="BA71" i="15" s="1"/>
  <c r="BB25" i="15"/>
  <c r="BB71" i="15" s="1"/>
  <c r="AZ26" i="15"/>
  <c r="BA26" i="15"/>
  <c r="BB26" i="15"/>
  <c r="AZ27" i="15"/>
  <c r="BA27" i="15"/>
  <c r="BB27" i="15"/>
  <c r="AZ28" i="15"/>
  <c r="BA28" i="15"/>
  <c r="BB28" i="15"/>
  <c r="AZ29" i="15"/>
  <c r="BA29" i="15"/>
  <c r="BB29" i="15"/>
  <c r="AZ30" i="15"/>
  <c r="BA30" i="15"/>
  <c r="BB30" i="15"/>
  <c r="AZ31" i="15"/>
  <c r="BA31" i="15"/>
  <c r="BB31" i="15"/>
  <c r="AZ32" i="15"/>
  <c r="BA32" i="15"/>
  <c r="BB32" i="15"/>
  <c r="AZ33" i="15"/>
  <c r="BA33" i="15"/>
  <c r="BB33" i="15"/>
  <c r="AZ34" i="15"/>
  <c r="BA34" i="15"/>
  <c r="BB34" i="15"/>
  <c r="AZ35" i="15"/>
  <c r="BA35" i="15"/>
  <c r="BB35" i="15"/>
  <c r="AZ36" i="15"/>
  <c r="BA36" i="15"/>
  <c r="BB36" i="15"/>
  <c r="AZ37" i="15"/>
  <c r="BA37" i="15"/>
  <c r="BB37" i="15"/>
  <c r="AZ38" i="15"/>
  <c r="BA38" i="15"/>
  <c r="BB38" i="15"/>
  <c r="AZ39" i="15"/>
  <c r="BA39" i="15"/>
  <c r="BB39" i="15"/>
  <c r="AZ40" i="15"/>
  <c r="BA40" i="15"/>
  <c r="BB40" i="15"/>
  <c r="AZ41" i="15"/>
  <c r="BA41" i="15"/>
  <c r="BB41" i="15"/>
  <c r="AZ42" i="15"/>
  <c r="BA42" i="15"/>
  <c r="BB42" i="15"/>
  <c r="AZ43" i="15"/>
  <c r="BA43" i="15"/>
  <c r="BB43" i="15"/>
  <c r="AZ44" i="15"/>
  <c r="BA44" i="15"/>
  <c r="BB44" i="15"/>
  <c r="AZ45" i="15"/>
  <c r="BA45" i="15"/>
  <c r="BB45" i="15"/>
  <c r="AZ46" i="15"/>
  <c r="BA46" i="15"/>
  <c r="BB46" i="15"/>
  <c r="AZ47" i="15"/>
  <c r="BA47" i="15"/>
  <c r="BB47" i="15"/>
  <c r="AZ48" i="15"/>
  <c r="BA48" i="15"/>
  <c r="BB48" i="15"/>
  <c r="AZ49" i="15"/>
  <c r="BA49" i="15"/>
  <c r="BB49" i="15"/>
  <c r="AZ50" i="15"/>
  <c r="BA50" i="15"/>
  <c r="BB50" i="15"/>
  <c r="AZ51" i="15"/>
  <c r="BA51" i="15"/>
  <c r="BB51" i="15"/>
  <c r="AZ52" i="15"/>
  <c r="BA52" i="15"/>
  <c r="BB52" i="15"/>
  <c r="AZ53" i="15"/>
  <c r="BA53" i="15"/>
  <c r="BB53" i="15"/>
  <c r="AZ54" i="15"/>
  <c r="BA54" i="15"/>
  <c r="BB54" i="15"/>
  <c r="AZ55" i="15"/>
  <c r="BA55" i="15"/>
  <c r="BB55" i="15"/>
  <c r="AZ56" i="15"/>
  <c r="BA56" i="15"/>
  <c r="BB56" i="15"/>
  <c r="AZ57" i="15"/>
  <c r="BA57" i="15"/>
  <c r="BB57" i="15"/>
  <c r="AZ58" i="15"/>
  <c r="BA58" i="15"/>
  <c r="BB58" i="15"/>
  <c r="AZ59" i="15"/>
  <c r="BA59" i="15"/>
  <c r="BB59" i="15"/>
  <c r="AZ60" i="15"/>
  <c r="BA60" i="15"/>
  <c r="BB60" i="15"/>
  <c r="AZ61" i="15"/>
  <c r="BA61" i="15"/>
  <c r="BB61" i="15"/>
  <c r="AZ62" i="15"/>
  <c r="BA62" i="15"/>
  <c r="BB62" i="15"/>
  <c r="AW22" i="15"/>
  <c r="AW68" i="15" s="1"/>
  <c r="AX22" i="15"/>
  <c r="AX68" i="15" s="1"/>
  <c r="AY22" i="15"/>
  <c r="AY68" i="15" s="1"/>
  <c r="AW23" i="15"/>
  <c r="AW69" i="15" s="1"/>
  <c r="AX23" i="15"/>
  <c r="AX69" i="15" s="1"/>
  <c r="AY23" i="15"/>
  <c r="AY69" i="15" s="1"/>
  <c r="AW24" i="15"/>
  <c r="AW70" i="15" s="1"/>
  <c r="AX24" i="15"/>
  <c r="AX70" i="15" s="1"/>
  <c r="AY24" i="15"/>
  <c r="AY70" i="15" s="1"/>
  <c r="AW25" i="15"/>
  <c r="AW71" i="15" s="1"/>
  <c r="AX25" i="15"/>
  <c r="AX71" i="15" s="1"/>
  <c r="AY25" i="15"/>
  <c r="AY71" i="15" s="1"/>
  <c r="AW26" i="15"/>
  <c r="AW72" i="15" s="1"/>
  <c r="AX26" i="15"/>
  <c r="AX72" i="15" s="1"/>
  <c r="AY26" i="15"/>
  <c r="AY72" i="15" s="1"/>
  <c r="AW27" i="15"/>
  <c r="AW73" i="15" s="1"/>
  <c r="AX27" i="15"/>
  <c r="AX73" i="15" s="1"/>
  <c r="AY27" i="15"/>
  <c r="AY73" i="15" s="1"/>
  <c r="AW28" i="15"/>
  <c r="AX28" i="15"/>
  <c r="AY28" i="15"/>
  <c r="AW29" i="15"/>
  <c r="AX29" i="15"/>
  <c r="AY29" i="15"/>
  <c r="AW30" i="15"/>
  <c r="AX30" i="15"/>
  <c r="AY30" i="15"/>
  <c r="AW31" i="15"/>
  <c r="AX31" i="15"/>
  <c r="AY31" i="15"/>
  <c r="AW32" i="15"/>
  <c r="AX32" i="15"/>
  <c r="AY32" i="15"/>
  <c r="AW33" i="15"/>
  <c r="AX33" i="15"/>
  <c r="AY33" i="15"/>
  <c r="AW34" i="15"/>
  <c r="AX34" i="15"/>
  <c r="AY34" i="15"/>
  <c r="AW35" i="15"/>
  <c r="AX35" i="15"/>
  <c r="AY35" i="15"/>
  <c r="AW36" i="15"/>
  <c r="AX36" i="15"/>
  <c r="AY36" i="15"/>
  <c r="AW37" i="15"/>
  <c r="AX37" i="15"/>
  <c r="AY37" i="15"/>
  <c r="AW38" i="15"/>
  <c r="AX38" i="15"/>
  <c r="AY38" i="15"/>
  <c r="AW39" i="15"/>
  <c r="AX39" i="15"/>
  <c r="AY39" i="15"/>
  <c r="AW40" i="15"/>
  <c r="AX40" i="15"/>
  <c r="AY40" i="15"/>
  <c r="AW41" i="15"/>
  <c r="AX41" i="15"/>
  <c r="AY41" i="15"/>
  <c r="AW42" i="15"/>
  <c r="AX42" i="15"/>
  <c r="AY42" i="15"/>
  <c r="AW43" i="15"/>
  <c r="AX43" i="15"/>
  <c r="AY43" i="15"/>
  <c r="AW44" i="15"/>
  <c r="AX44" i="15"/>
  <c r="AY44" i="15"/>
  <c r="AW45" i="15"/>
  <c r="AX45" i="15"/>
  <c r="AY45" i="15"/>
  <c r="AW46" i="15"/>
  <c r="AX46" i="15"/>
  <c r="AY46" i="15"/>
  <c r="AW47" i="15"/>
  <c r="AX47" i="15"/>
  <c r="AY47" i="15"/>
  <c r="AW48" i="15"/>
  <c r="AX48" i="15"/>
  <c r="AY48" i="15"/>
  <c r="AW49" i="15"/>
  <c r="AX49" i="15"/>
  <c r="AY49" i="15"/>
  <c r="AW50" i="15"/>
  <c r="AX50" i="15"/>
  <c r="AY50" i="15"/>
  <c r="AW51" i="15"/>
  <c r="AX51" i="15"/>
  <c r="AY51" i="15"/>
  <c r="AW52" i="15"/>
  <c r="AX52" i="15"/>
  <c r="AY52" i="15"/>
  <c r="AW53" i="15"/>
  <c r="AX53" i="15"/>
  <c r="AY53" i="15"/>
  <c r="AW54" i="15"/>
  <c r="AX54" i="15"/>
  <c r="AY54" i="15"/>
  <c r="AW55" i="15"/>
  <c r="AX55" i="15"/>
  <c r="AY55" i="15"/>
  <c r="AW56" i="15"/>
  <c r="AX56" i="15"/>
  <c r="AY56" i="15"/>
  <c r="AW57" i="15"/>
  <c r="AX57" i="15"/>
  <c r="AY57" i="15"/>
  <c r="AW58" i="15"/>
  <c r="AX58" i="15"/>
  <c r="AY58" i="15"/>
  <c r="AW59" i="15"/>
  <c r="AX59" i="15"/>
  <c r="AY59" i="15"/>
  <c r="AW60" i="15"/>
  <c r="AX60" i="15"/>
  <c r="AY60" i="15"/>
  <c r="AW61" i="15"/>
  <c r="AX61" i="15"/>
  <c r="AY61" i="15"/>
  <c r="AW62" i="15"/>
  <c r="AX62" i="15"/>
  <c r="AY62" i="15"/>
  <c r="AE28" i="15"/>
  <c r="AF28" i="15"/>
  <c r="AG28" i="15"/>
  <c r="AE29" i="15"/>
  <c r="AF29" i="15"/>
  <c r="AG29" i="15"/>
  <c r="AE30" i="15"/>
  <c r="AF30" i="15"/>
  <c r="AG30" i="15"/>
  <c r="AE31" i="15"/>
  <c r="AF31" i="15"/>
  <c r="AG31" i="15"/>
  <c r="AE32" i="15"/>
  <c r="AF32" i="15"/>
  <c r="AG32" i="15"/>
  <c r="AE33" i="15"/>
  <c r="AF33" i="15"/>
  <c r="AG33" i="15"/>
  <c r="AE34" i="15"/>
  <c r="AF34" i="15"/>
  <c r="AG34" i="15"/>
  <c r="AE35" i="15"/>
  <c r="AF35" i="15"/>
  <c r="AG35" i="15"/>
  <c r="AE36" i="15"/>
  <c r="AF36" i="15"/>
  <c r="AG36" i="15"/>
  <c r="AE37" i="15"/>
  <c r="AF37" i="15"/>
  <c r="AG37" i="15"/>
  <c r="AE38" i="15"/>
  <c r="AF38" i="15"/>
  <c r="AG38" i="15"/>
  <c r="AE39" i="15"/>
  <c r="AF39" i="15"/>
  <c r="AG39" i="15"/>
  <c r="AE40" i="15"/>
  <c r="AF40" i="15"/>
  <c r="AG40" i="15"/>
  <c r="AE41" i="15"/>
  <c r="AF41" i="15"/>
  <c r="AG41" i="15"/>
  <c r="AE42" i="15"/>
  <c r="AF42" i="15"/>
  <c r="AG42" i="15"/>
  <c r="AE43" i="15"/>
  <c r="AF43" i="15"/>
  <c r="AG43" i="15"/>
  <c r="AE44" i="15"/>
  <c r="AF44" i="15"/>
  <c r="AG44" i="15"/>
  <c r="AE45" i="15"/>
  <c r="AF45" i="15"/>
  <c r="AG45" i="15"/>
  <c r="AE46" i="15"/>
  <c r="AF46" i="15"/>
  <c r="AG46" i="15"/>
  <c r="AE47" i="15"/>
  <c r="AF47" i="15"/>
  <c r="AG47" i="15"/>
  <c r="AE48" i="15"/>
  <c r="AF48" i="15"/>
  <c r="AG48" i="15"/>
  <c r="AE49" i="15"/>
  <c r="AF49" i="15"/>
  <c r="AG49" i="15"/>
  <c r="AE50" i="15"/>
  <c r="AF50" i="15"/>
  <c r="AG50" i="15"/>
  <c r="AE51" i="15"/>
  <c r="AF51" i="15"/>
  <c r="AG51" i="15"/>
  <c r="AE52" i="15"/>
  <c r="AF52" i="15"/>
  <c r="AG52" i="15"/>
  <c r="AE53" i="15"/>
  <c r="AF53" i="15"/>
  <c r="AG53" i="15"/>
  <c r="AE54" i="15"/>
  <c r="AF54" i="15"/>
  <c r="AG54" i="15"/>
  <c r="AE55" i="15"/>
  <c r="AF55" i="15"/>
  <c r="AG55" i="15"/>
  <c r="AE56" i="15"/>
  <c r="AF56" i="15"/>
  <c r="AG56" i="15"/>
  <c r="AE57" i="15"/>
  <c r="AF57" i="15"/>
  <c r="AG57" i="15"/>
  <c r="AE58" i="15"/>
  <c r="AF58" i="15"/>
  <c r="AG58" i="15"/>
  <c r="AE59" i="15"/>
  <c r="AF59" i="15"/>
  <c r="AG59" i="15"/>
  <c r="AE60" i="15"/>
  <c r="AF60" i="15"/>
  <c r="AG60" i="15"/>
  <c r="AE61" i="15"/>
  <c r="AF61" i="15"/>
  <c r="AG61" i="15"/>
  <c r="AE62" i="15"/>
  <c r="AF62" i="15"/>
  <c r="AG62" i="15"/>
  <c r="AB28" i="15"/>
  <c r="AC28" i="15"/>
  <c r="AD28" i="15"/>
  <c r="AB29" i="15"/>
  <c r="AC29" i="15"/>
  <c r="AD29" i="15"/>
  <c r="AB30" i="15"/>
  <c r="AC30" i="15"/>
  <c r="AD30" i="15"/>
  <c r="AB31" i="15"/>
  <c r="AC31" i="15"/>
  <c r="AD31" i="15"/>
  <c r="AB32" i="15"/>
  <c r="AC32" i="15"/>
  <c r="AD32" i="15"/>
  <c r="AB33" i="15"/>
  <c r="AC33" i="15"/>
  <c r="AD33" i="15"/>
  <c r="AB34" i="15"/>
  <c r="AC34" i="15"/>
  <c r="AD34" i="15"/>
  <c r="AB35" i="15"/>
  <c r="AC35" i="15"/>
  <c r="AD35" i="15"/>
  <c r="AB36" i="15"/>
  <c r="AC36" i="15"/>
  <c r="AD36" i="15"/>
  <c r="AB37" i="15"/>
  <c r="AC37" i="15"/>
  <c r="AD37" i="15"/>
  <c r="AB38" i="15"/>
  <c r="AC38" i="15"/>
  <c r="AD38" i="15"/>
  <c r="AB39" i="15"/>
  <c r="AC39" i="15"/>
  <c r="AD39" i="15"/>
  <c r="AB40" i="15"/>
  <c r="AC40" i="15"/>
  <c r="AD40" i="15"/>
  <c r="AB41" i="15"/>
  <c r="AC41" i="15"/>
  <c r="AD41" i="15"/>
  <c r="AB42" i="15"/>
  <c r="AC42" i="15"/>
  <c r="AD42" i="15"/>
  <c r="AB43" i="15"/>
  <c r="AC43" i="15"/>
  <c r="AD43" i="15"/>
  <c r="AB44" i="15"/>
  <c r="AC44" i="15"/>
  <c r="AD44" i="15"/>
  <c r="AB45" i="15"/>
  <c r="AC45" i="15"/>
  <c r="AD45" i="15"/>
  <c r="AB46" i="15"/>
  <c r="AC46" i="15"/>
  <c r="AD46" i="15"/>
  <c r="AB47" i="15"/>
  <c r="AC47" i="15"/>
  <c r="AD47" i="15"/>
  <c r="AB48" i="15"/>
  <c r="AC48" i="15"/>
  <c r="AD48" i="15"/>
  <c r="AB49" i="15"/>
  <c r="AC49" i="15"/>
  <c r="AD49" i="15"/>
  <c r="AB50" i="15"/>
  <c r="AC50" i="15"/>
  <c r="AD50" i="15"/>
  <c r="AB51" i="15"/>
  <c r="AC51" i="15"/>
  <c r="AD51" i="15"/>
  <c r="AB52" i="15"/>
  <c r="AC52" i="15"/>
  <c r="AD52" i="15"/>
  <c r="AB53" i="15"/>
  <c r="AC53" i="15"/>
  <c r="AD53" i="15"/>
  <c r="AB54" i="15"/>
  <c r="AC54" i="15"/>
  <c r="AD54" i="15"/>
  <c r="AB55" i="15"/>
  <c r="AC55" i="15"/>
  <c r="AD55" i="15"/>
  <c r="AB56" i="15"/>
  <c r="AC56" i="15"/>
  <c r="AD56" i="15"/>
  <c r="AB57" i="15"/>
  <c r="AC57" i="15"/>
  <c r="AD57" i="15"/>
  <c r="AB58" i="15"/>
  <c r="AC58" i="15"/>
  <c r="AD58" i="15"/>
  <c r="AB59" i="15"/>
  <c r="AC59" i="15"/>
  <c r="AD59" i="15"/>
  <c r="AB60" i="15"/>
  <c r="AC60" i="15"/>
  <c r="AD60" i="15"/>
  <c r="AB61" i="15"/>
  <c r="AC61" i="15"/>
  <c r="AD61" i="15"/>
  <c r="AB62" i="15"/>
  <c r="AC62" i="15"/>
  <c r="AD62" i="15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4" i="18"/>
  <c r="D68" i="8" l="1"/>
  <c r="D70" i="8" s="1"/>
  <c r="D71" i="8" s="1"/>
  <c r="D72" i="8" s="1"/>
  <c r="BV45" i="16"/>
  <c r="BW45" i="16" s="1"/>
  <c r="BX45" i="16" s="1"/>
  <c r="CE44" i="16"/>
  <c r="CF44" i="16" s="1"/>
  <c r="CG44" i="16" s="1"/>
  <c r="BS44" i="16"/>
  <c r="BT44" i="16" s="1"/>
  <c r="BU44" i="16" s="1"/>
  <c r="BV25" i="16"/>
  <c r="BW25" i="16" s="1"/>
  <c r="BX25" i="16" s="1"/>
  <c r="CB44" i="16"/>
  <c r="CC44" i="16" s="1"/>
  <c r="CD44" i="16" s="1"/>
  <c r="CE45" i="16"/>
  <c r="CF45" i="16" s="1"/>
  <c r="CG45" i="16" s="1"/>
  <c r="BV44" i="16"/>
  <c r="BW44" i="16" s="1"/>
  <c r="BX44" i="16" s="1"/>
  <c r="BS40" i="16"/>
  <c r="BT40" i="16" s="1"/>
  <c r="BU40" i="16" s="1"/>
  <c r="BS36" i="16"/>
  <c r="BT36" i="16" s="1"/>
  <c r="BU36" i="16" s="1"/>
  <c r="BS32" i="16"/>
  <c r="BT32" i="16" s="1"/>
  <c r="BU32" i="16" s="1"/>
  <c r="BS28" i="16"/>
  <c r="BT28" i="16" s="1"/>
  <c r="BU28" i="16" s="1"/>
  <c r="BS24" i="16"/>
  <c r="BT24" i="16" s="1"/>
  <c r="BU24" i="16" s="1"/>
  <c r="BS20" i="16"/>
  <c r="BT20" i="16" s="1"/>
  <c r="BU20" i="16" s="1"/>
  <c r="BS16" i="16"/>
  <c r="BT16" i="16" s="1"/>
  <c r="BU16" i="16" s="1"/>
  <c r="BV43" i="16"/>
  <c r="BW43" i="16" s="1"/>
  <c r="BX43" i="16" s="1"/>
  <c r="BV41" i="16"/>
  <c r="BW41" i="16" s="1"/>
  <c r="BX41" i="16" s="1"/>
  <c r="BV39" i="16"/>
  <c r="BW39" i="16" s="1"/>
  <c r="BX39" i="16" s="1"/>
  <c r="BV37" i="16"/>
  <c r="BW37" i="16" s="1"/>
  <c r="BX37" i="16" s="1"/>
  <c r="BV35" i="16"/>
  <c r="BW35" i="16" s="1"/>
  <c r="BX35" i="16" s="1"/>
  <c r="BV33" i="16"/>
  <c r="BW33" i="16" s="1"/>
  <c r="BX33" i="16" s="1"/>
  <c r="BV29" i="16"/>
  <c r="BW29" i="16" s="1"/>
  <c r="BX29" i="16" s="1"/>
  <c r="BV21" i="16"/>
  <c r="BW21" i="16" s="1"/>
  <c r="BX21" i="16" s="1"/>
  <c r="BV17" i="16"/>
  <c r="BW17" i="16" s="1"/>
  <c r="BX17" i="16" s="1"/>
  <c r="CB39" i="16"/>
  <c r="CC39" i="16" s="1"/>
  <c r="CD39" i="16" s="1"/>
  <c r="CB35" i="16"/>
  <c r="CC35" i="16" s="1"/>
  <c r="CD35" i="16" s="1"/>
  <c r="CB31" i="16"/>
  <c r="CC31" i="16" s="1"/>
  <c r="CD31" i="16" s="1"/>
  <c r="CB23" i="16"/>
  <c r="CC23" i="16" s="1"/>
  <c r="CD23" i="16" s="1"/>
  <c r="CB19" i="16"/>
  <c r="CC19" i="16" s="1"/>
  <c r="CD19" i="16" s="1"/>
  <c r="CB15" i="16"/>
  <c r="CC15" i="16" s="1"/>
  <c r="CD15" i="16" s="1"/>
  <c r="CE36" i="16"/>
  <c r="CF36" i="16" s="1"/>
  <c r="CG36" i="16" s="1"/>
  <c r="CE32" i="16"/>
  <c r="CF32" i="16" s="1"/>
  <c r="CG32" i="16" s="1"/>
  <c r="CE28" i="16"/>
  <c r="CF28" i="16" s="1"/>
  <c r="CG28" i="16" s="1"/>
  <c r="CE20" i="16"/>
  <c r="CF20" i="16" s="1"/>
  <c r="CG20" i="16" s="1"/>
  <c r="CE16" i="16"/>
  <c r="CF16" i="16" s="1"/>
  <c r="CG16" i="16" s="1"/>
  <c r="BV40" i="16"/>
  <c r="BW40" i="16" s="1"/>
  <c r="BX40" i="16" s="1"/>
  <c r="BS43" i="16"/>
  <c r="BT43" i="16" s="1"/>
  <c r="BU43" i="16" s="1"/>
  <c r="BS39" i="16"/>
  <c r="BT39" i="16" s="1"/>
  <c r="BU39" i="16" s="1"/>
  <c r="BS35" i="16"/>
  <c r="BT35" i="16" s="1"/>
  <c r="BU35" i="16" s="1"/>
  <c r="BS31" i="16"/>
  <c r="BT31" i="16" s="1"/>
  <c r="BU31" i="16" s="1"/>
  <c r="BS27" i="16"/>
  <c r="BT27" i="16" s="1"/>
  <c r="BU27" i="16" s="1"/>
  <c r="BS23" i="16"/>
  <c r="BT23" i="16" s="1"/>
  <c r="BU23" i="16" s="1"/>
  <c r="BS19" i="16"/>
  <c r="BT19" i="16" s="1"/>
  <c r="BU19" i="16" s="1"/>
  <c r="BS15" i="16"/>
  <c r="BT15" i="16" s="1"/>
  <c r="BU15" i="16" s="1"/>
  <c r="BY43" i="16"/>
  <c r="BZ43" i="16" s="1"/>
  <c r="CA43" i="16" s="1"/>
  <c r="BY39" i="16"/>
  <c r="BZ39" i="16" s="1"/>
  <c r="CA39" i="16" s="1"/>
  <c r="BY35" i="16"/>
  <c r="BZ35" i="16" s="1"/>
  <c r="CA35" i="16" s="1"/>
  <c r="BY31" i="16"/>
  <c r="BZ31" i="16" s="1"/>
  <c r="CA31" i="16" s="1"/>
  <c r="BY27" i="16"/>
  <c r="BZ27" i="16" s="1"/>
  <c r="CA27" i="16" s="1"/>
  <c r="BY23" i="16"/>
  <c r="BZ23" i="16" s="1"/>
  <c r="CA23" i="16" s="1"/>
  <c r="BY19" i="16"/>
  <c r="BZ19" i="16" s="1"/>
  <c r="CA19" i="16" s="1"/>
  <c r="BY15" i="16"/>
  <c r="BZ15" i="16" s="1"/>
  <c r="CA15" i="16" s="1"/>
  <c r="CH43" i="16"/>
  <c r="CI43" i="16" s="1"/>
  <c r="CJ43" i="16" s="1"/>
  <c r="BV36" i="16"/>
  <c r="BW36" i="16" s="1"/>
  <c r="BX36" i="16" s="1"/>
  <c r="BS42" i="16"/>
  <c r="BT42" i="16" s="1"/>
  <c r="BU42" i="16" s="1"/>
  <c r="BS38" i="16"/>
  <c r="BT38" i="16" s="1"/>
  <c r="BU38" i="16" s="1"/>
  <c r="BS34" i="16"/>
  <c r="BT34" i="16" s="1"/>
  <c r="BU34" i="16" s="1"/>
  <c r="BS30" i="16"/>
  <c r="BT30" i="16" s="1"/>
  <c r="BU30" i="16" s="1"/>
  <c r="BS26" i="16"/>
  <c r="BT26" i="16" s="1"/>
  <c r="BU26" i="16" s="1"/>
  <c r="BS22" i="16"/>
  <c r="BT22" i="16" s="1"/>
  <c r="BU22" i="16" s="1"/>
  <c r="BS18" i="16"/>
  <c r="BT18" i="16" s="1"/>
  <c r="BU18" i="16" s="1"/>
  <c r="BV42" i="16"/>
  <c r="BW42" i="16" s="1"/>
  <c r="BX42" i="16" s="1"/>
  <c r="BV38" i="16"/>
  <c r="BW38" i="16" s="1"/>
  <c r="BX38" i="16" s="1"/>
  <c r="CH39" i="16"/>
  <c r="CI39" i="16" s="1"/>
  <c r="CJ39" i="16" s="1"/>
  <c r="CH35" i="16"/>
  <c r="CI35" i="16" s="1"/>
  <c r="CJ35" i="16" s="1"/>
  <c r="CH31" i="16"/>
  <c r="CI31" i="16" s="1"/>
  <c r="CJ31" i="16" s="1"/>
  <c r="CH23" i="16"/>
  <c r="CI23" i="16" s="1"/>
  <c r="CJ23" i="16" s="1"/>
  <c r="CH19" i="16"/>
  <c r="CI19" i="16" s="1"/>
  <c r="CJ19" i="16" s="1"/>
  <c r="CH15" i="16"/>
  <c r="CI15" i="16" s="1"/>
  <c r="CJ15" i="16" s="1"/>
  <c r="BS45" i="16"/>
  <c r="BT45" i="16" s="1"/>
  <c r="BU45" i="16" s="1"/>
  <c r="BS41" i="16"/>
  <c r="BT41" i="16" s="1"/>
  <c r="BU41" i="16" s="1"/>
  <c r="BS37" i="16"/>
  <c r="BT37" i="16" s="1"/>
  <c r="BU37" i="16" s="1"/>
  <c r="BS33" i="16"/>
  <c r="BT33" i="16" s="1"/>
  <c r="BU33" i="16" s="1"/>
  <c r="BS29" i="16"/>
  <c r="BT29" i="16" s="1"/>
  <c r="BU29" i="16" s="1"/>
  <c r="BS25" i="16"/>
  <c r="BT25" i="16" s="1"/>
  <c r="BU25" i="16" s="1"/>
  <c r="BS21" i="16"/>
  <c r="BT21" i="16" s="1"/>
  <c r="BU21" i="16" s="1"/>
  <c r="BS17" i="16"/>
  <c r="BT17" i="16" s="1"/>
  <c r="BU17" i="16" s="1"/>
  <c r="BY45" i="16"/>
  <c r="BZ45" i="16" s="1"/>
  <c r="CA45" i="16" s="1"/>
  <c r="CB40" i="16"/>
  <c r="CC40" i="16" s="1"/>
  <c r="CD40" i="16" s="1"/>
  <c r="CB36" i="16"/>
  <c r="CC36" i="16" s="1"/>
  <c r="CD36" i="16" s="1"/>
  <c r="CB32" i="16"/>
  <c r="CC32" i="16" s="1"/>
  <c r="CD32" i="16" s="1"/>
  <c r="CB28" i="16"/>
  <c r="CC28" i="16" s="1"/>
  <c r="CD28" i="16" s="1"/>
  <c r="CB24" i="16"/>
  <c r="CC24" i="16" s="1"/>
  <c r="CD24" i="16" s="1"/>
  <c r="CB20" i="16"/>
  <c r="CC20" i="16" s="1"/>
  <c r="CD20" i="16" s="1"/>
  <c r="CB16" i="16"/>
  <c r="CC16" i="16" s="1"/>
  <c r="CD16" i="16" s="1"/>
  <c r="CH42" i="16"/>
  <c r="CI42" i="16" s="1"/>
  <c r="CJ42" i="16" s="1"/>
  <c r="CE41" i="16"/>
  <c r="CF41" i="16" s="1"/>
  <c r="CG41" i="16" s="1"/>
  <c r="CH38" i="16"/>
  <c r="CI38" i="16" s="1"/>
  <c r="CJ38" i="16" s="1"/>
  <c r="CE37" i="16"/>
  <c r="CF37" i="16" s="1"/>
  <c r="CG37" i="16" s="1"/>
  <c r="CH34" i="16"/>
  <c r="CI34" i="16" s="1"/>
  <c r="CJ34" i="16" s="1"/>
  <c r="CE33" i="16"/>
  <c r="CF33" i="16" s="1"/>
  <c r="CG33" i="16" s="1"/>
  <c r="CH30" i="16"/>
  <c r="CI30" i="16" s="1"/>
  <c r="CJ30" i="16" s="1"/>
  <c r="CE29" i="16"/>
  <c r="CF29" i="16" s="1"/>
  <c r="CG29" i="16" s="1"/>
  <c r="CH26" i="16"/>
  <c r="CI26" i="16" s="1"/>
  <c r="CJ26" i="16" s="1"/>
  <c r="CE25" i="16"/>
  <c r="CF25" i="16" s="1"/>
  <c r="CG25" i="16" s="1"/>
  <c r="CH22" i="16"/>
  <c r="CI22" i="16" s="1"/>
  <c r="CJ22" i="16" s="1"/>
  <c r="CE21" i="16"/>
  <c r="CF21" i="16" s="1"/>
  <c r="CG21" i="16" s="1"/>
  <c r="CH18" i="16"/>
  <c r="CI18" i="16" s="1"/>
  <c r="CJ18" i="16" s="1"/>
  <c r="CE17" i="16"/>
  <c r="CF17" i="16" s="1"/>
  <c r="CG17" i="16" s="1"/>
  <c r="CH14" i="16"/>
  <c r="CI14" i="16" s="1"/>
  <c r="CJ14" i="16" s="1"/>
  <c r="CB43" i="16"/>
  <c r="CC43" i="16" s="1"/>
  <c r="CD43" i="16" s="1"/>
  <c r="CB27" i="16"/>
  <c r="CC27" i="16" s="1"/>
  <c r="CD27" i="16" s="1"/>
  <c r="CE40" i="16"/>
  <c r="CF40" i="16" s="1"/>
  <c r="CG40" i="16" s="1"/>
  <c r="CE24" i="16"/>
  <c r="CF24" i="16" s="1"/>
  <c r="CG24" i="16" s="1"/>
  <c r="CH27" i="16"/>
  <c r="CI27" i="16" s="1"/>
  <c r="CJ27" i="16" s="1"/>
  <c r="BS14" i="16"/>
  <c r="BT14" i="16" s="1"/>
  <c r="BU14" i="16" s="1"/>
  <c r="BV34" i="16"/>
  <c r="BW34" i="16" s="1"/>
  <c r="BX34" i="16" s="1"/>
  <c r="BV32" i="16"/>
  <c r="BW32" i="16" s="1"/>
  <c r="BX32" i="16" s="1"/>
  <c r="BV30" i="16"/>
  <c r="BW30" i="16" s="1"/>
  <c r="BX30" i="16" s="1"/>
  <c r="BV28" i="16"/>
  <c r="BW28" i="16" s="1"/>
  <c r="BX28" i="16" s="1"/>
  <c r="BV26" i="16"/>
  <c r="BW26" i="16" s="1"/>
  <c r="BX26" i="16" s="1"/>
  <c r="BV24" i="16"/>
  <c r="BW24" i="16" s="1"/>
  <c r="BX24" i="16" s="1"/>
  <c r="BV22" i="16"/>
  <c r="BW22" i="16" s="1"/>
  <c r="BX22" i="16" s="1"/>
  <c r="BV20" i="16"/>
  <c r="BW20" i="16" s="1"/>
  <c r="BX20" i="16" s="1"/>
  <c r="BV18" i="16"/>
  <c r="BW18" i="16" s="1"/>
  <c r="BX18" i="16" s="1"/>
  <c r="BV16" i="16"/>
  <c r="BW16" i="16" s="1"/>
  <c r="BX16" i="16" s="1"/>
  <c r="BV14" i="16"/>
  <c r="BW14" i="16" s="1"/>
  <c r="BX14" i="16" s="1"/>
  <c r="CB45" i="16"/>
  <c r="CC45" i="16" s="1"/>
  <c r="CD45" i="16" s="1"/>
  <c r="BY44" i="16"/>
  <c r="BZ44" i="16" s="1"/>
  <c r="CA44" i="16" s="1"/>
  <c r="CB41" i="16"/>
  <c r="CC41" i="16" s="1"/>
  <c r="CD41" i="16" s="1"/>
  <c r="BY40" i="16"/>
  <c r="BZ40" i="16" s="1"/>
  <c r="CA40" i="16" s="1"/>
  <c r="CB37" i="16"/>
  <c r="CC37" i="16" s="1"/>
  <c r="CD37" i="16" s="1"/>
  <c r="BY36" i="16"/>
  <c r="BZ36" i="16" s="1"/>
  <c r="CA36" i="16" s="1"/>
  <c r="CB33" i="16"/>
  <c r="CC33" i="16" s="1"/>
  <c r="CD33" i="16" s="1"/>
  <c r="BY32" i="16"/>
  <c r="BZ32" i="16" s="1"/>
  <c r="CA32" i="16" s="1"/>
  <c r="CB29" i="16"/>
  <c r="CC29" i="16" s="1"/>
  <c r="CD29" i="16" s="1"/>
  <c r="BY28" i="16"/>
  <c r="BZ28" i="16" s="1"/>
  <c r="CA28" i="16" s="1"/>
  <c r="CB25" i="16"/>
  <c r="CC25" i="16" s="1"/>
  <c r="CD25" i="16" s="1"/>
  <c r="BY24" i="16"/>
  <c r="BZ24" i="16" s="1"/>
  <c r="CA24" i="16" s="1"/>
  <c r="CB21" i="16"/>
  <c r="CC21" i="16" s="1"/>
  <c r="CD21" i="16" s="1"/>
  <c r="BY20" i="16"/>
  <c r="BZ20" i="16" s="1"/>
  <c r="CA20" i="16" s="1"/>
  <c r="CB17" i="16"/>
  <c r="CC17" i="16" s="1"/>
  <c r="CD17" i="16" s="1"/>
  <c r="BY16" i="16"/>
  <c r="BZ16" i="16" s="1"/>
  <c r="CA16" i="16" s="1"/>
  <c r="CE42" i="16"/>
  <c r="CF42" i="16" s="1"/>
  <c r="CG42" i="16" s="1"/>
  <c r="CE38" i="16"/>
  <c r="CF38" i="16" s="1"/>
  <c r="CG38" i="16" s="1"/>
  <c r="CE34" i="16"/>
  <c r="CF34" i="16" s="1"/>
  <c r="CG34" i="16" s="1"/>
  <c r="CE30" i="16"/>
  <c r="CF30" i="16" s="1"/>
  <c r="CG30" i="16" s="1"/>
  <c r="CE26" i="16"/>
  <c r="CF26" i="16" s="1"/>
  <c r="CG26" i="16" s="1"/>
  <c r="CE22" i="16"/>
  <c r="CF22" i="16" s="1"/>
  <c r="CG22" i="16" s="1"/>
  <c r="CE18" i="16"/>
  <c r="CF18" i="16" s="1"/>
  <c r="CG18" i="16" s="1"/>
  <c r="CE14" i="16"/>
  <c r="CF14" i="16" s="1"/>
  <c r="CG14" i="16" s="1"/>
  <c r="BS13" i="16"/>
  <c r="BT13" i="16" s="1"/>
  <c r="BU13" i="16" s="1"/>
  <c r="BL110" i="15"/>
  <c r="CB42" i="16"/>
  <c r="CC42" i="16" s="1"/>
  <c r="CD42" i="16" s="1"/>
  <c r="BY41" i="16"/>
  <c r="BZ41" i="16" s="1"/>
  <c r="CA41" i="16" s="1"/>
  <c r="CB38" i="16"/>
  <c r="CC38" i="16" s="1"/>
  <c r="CD38" i="16" s="1"/>
  <c r="BY37" i="16"/>
  <c r="BZ37" i="16" s="1"/>
  <c r="CA37" i="16" s="1"/>
  <c r="CB34" i="16"/>
  <c r="CC34" i="16" s="1"/>
  <c r="CD34" i="16" s="1"/>
  <c r="BY33" i="16"/>
  <c r="BZ33" i="16" s="1"/>
  <c r="CA33" i="16" s="1"/>
  <c r="CB30" i="16"/>
  <c r="CC30" i="16" s="1"/>
  <c r="CD30" i="16" s="1"/>
  <c r="BY29" i="16"/>
  <c r="BZ29" i="16" s="1"/>
  <c r="CA29" i="16" s="1"/>
  <c r="CB26" i="16"/>
  <c r="CC26" i="16" s="1"/>
  <c r="CD26" i="16" s="1"/>
  <c r="BY25" i="16"/>
  <c r="BZ25" i="16" s="1"/>
  <c r="CA25" i="16" s="1"/>
  <c r="CB22" i="16"/>
  <c r="CC22" i="16" s="1"/>
  <c r="CD22" i="16" s="1"/>
  <c r="BY21" i="16"/>
  <c r="BZ21" i="16" s="1"/>
  <c r="CA21" i="16" s="1"/>
  <c r="CB18" i="16"/>
  <c r="CC18" i="16" s="1"/>
  <c r="CD18" i="16" s="1"/>
  <c r="BY17" i="16"/>
  <c r="BZ17" i="16" s="1"/>
  <c r="CA17" i="16" s="1"/>
  <c r="CB14" i="16"/>
  <c r="CC14" i="16" s="1"/>
  <c r="CD14" i="16" s="1"/>
  <c r="BY13" i="16"/>
  <c r="BZ13" i="16" s="1"/>
  <c r="CA13" i="16" s="1"/>
  <c r="CH44" i="16"/>
  <c r="CI44" i="16" s="1"/>
  <c r="CJ44" i="16" s="1"/>
  <c r="CE43" i="16"/>
  <c r="CF43" i="16" s="1"/>
  <c r="CG43" i="16" s="1"/>
  <c r="CH40" i="16"/>
  <c r="CI40" i="16" s="1"/>
  <c r="CJ40" i="16" s="1"/>
  <c r="CE39" i="16"/>
  <c r="CF39" i="16" s="1"/>
  <c r="CG39" i="16" s="1"/>
  <c r="CH36" i="16"/>
  <c r="CI36" i="16" s="1"/>
  <c r="CJ36" i="16" s="1"/>
  <c r="CE35" i="16"/>
  <c r="CF35" i="16" s="1"/>
  <c r="CG35" i="16" s="1"/>
  <c r="CH32" i="16"/>
  <c r="CI32" i="16" s="1"/>
  <c r="CJ32" i="16" s="1"/>
  <c r="CE31" i="16"/>
  <c r="CF31" i="16" s="1"/>
  <c r="CG31" i="16" s="1"/>
  <c r="CH28" i="16"/>
  <c r="CI28" i="16" s="1"/>
  <c r="CJ28" i="16" s="1"/>
  <c r="CE27" i="16"/>
  <c r="CF27" i="16" s="1"/>
  <c r="CG27" i="16" s="1"/>
  <c r="CH24" i="16"/>
  <c r="CI24" i="16" s="1"/>
  <c r="CJ24" i="16" s="1"/>
  <c r="CE23" i="16"/>
  <c r="CF23" i="16" s="1"/>
  <c r="CG23" i="16" s="1"/>
  <c r="CH20" i="16"/>
  <c r="CI20" i="16" s="1"/>
  <c r="CJ20" i="16" s="1"/>
  <c r="CE19" i="16"/>
  <c r="CF19" i="16" s="1"/>
  <c r="CG19" i="16" s="1"/>
  <c r="CH16" i="16"/>
  <c r="CI16" i="16" s="1"/>
  <c r="CJ16" i="16" s="1"/>
  <c r="CE15" i="16"/>
  <c r="CF15" i="16" s="1"/>
  <c r="CG15" i="16" s="1"/>
  <c r="CE11" i="16"/>
  <c r="CF11" i="16" s="1"/>
  <c r="CG11" i="16" s="1"/>
  <c r="BV31" i="16"/>
  <c r="BW31" i="16" s="1"/>
  <c r="BX31" i="16" s="1"/>
  <c r="BV27" i="16"/>
  <c r="BW27" i="16" s="1"/>
  <c r="BX27" i="16" s="1"/>
  <c r="BV23" i="16"/>
  <c r="BW23" i="16" s="1"/>
  <c r="BX23" i="16" s="1"/>
  <c r="BV19" i="16"/>
  <c r="BW19" i="16" s="1"/>
  <c r="BX19" i="16" s="1"/>
  <c r="BV15" i="16"/>
  <c r="BW15" i="16" s="1"/>
  <c r="BX15" i="16" s="1"/>
  <c r="BY42" i="16"/>
  <c r="BZ42" i="16" s="1"/>
  <c r="CA42" i="16" s="1"/>
  <c r="BY38" i="16"/>
  <c r="BZ38" i="16" s="1"/>
  <c r="CA38" i="16" s="1"/>
  <c r="BY34" i="16"/>
  <c r="BZ34" i="16" s="1"/>
  <c r="CA34" i="16" s="1"/>
  <c r="BY30" i="16"/>
  <c r="BZ30" i="16" s="1"/>
  <c r="CA30" i="16" s="1"/>
  <c r="BY26" i="16"/>
  <c r="BZ26" i="16" s="1"/>
  <c r="CA26" i="16" s="1"/>
  <c r="BY22" i="16"/>
  <c r="BZ22" i="16" s="1"/>
  <c r="CA22" i="16" s="1"/>
  <c r="BY18" i="16"/>
  <c r="BZ18" i="16" s="1"/>
  <c r="CA18" i="16" s="1"/>
  <c r="BY14" i="16"/>
  <c r="BZ14" i="16" s="1"/>
  <c r="CA14" i="16" s="1"/>
  <c r="CH45" i="16"/>
  <c r="CI45" i="16" s="1"/>
  <c r="CJ45" i="16" s="1"/>
  <c r="CH41" i="16"/>
  <c r="CI41" i="16" s="1"/>
  <c r="CJ41" i="16" s="1"/>
  <c r="CH37" i="16"/>
  <c r="CI37" i="16" s="1"/>
  <c r="CJ37" i="16" s="1"/>
  <c r="CH33" i="16"/>
  <c r="CI33" i="16" s="1"/>
  <c r="CJ33" i="16" s="1"/>
  <c r="CH29" i="16"/>
  <c r="CI29" i="16" s="1"/>
  <c r="CJ29" i="16" s="1"/>
  <c r="CH25" i="16"/>
  <c r="CI25" i="16" s="1"/>
  <c r="CJ25" i="16" s="1"/>
  <c r="CH21" i="16"/>
  <c r="CI21" i="16" s="1"/>
  <c r="CJ21" i="16" s="1"/>
  <c r="CH17" i="16"/>
  <c r="CI17" i="16" s="1"/>
  <c r="CJ17" i="16" s="1"/>
  <c r="CH13" i="16"/>
  <c r="CI13" i="16" s="1"/>
  <c r="CJ13" i="16" s="1"/>
  <c r="BS12" i="16"/>
  <c r="BT12" i="16" s="1"/>
  <c r="BU12" i="16" s="1"/>
  <c r="BS8" i="16"/>
  <c r="BT8" i="16" s="1"/>
  <c r="BU8" i="16" s="1"/>
  <c r="BK110" i="15"/>
  <c r="BV13" i="16"/>
  <c r="BW13" i="16" s="1"/>
  <c r="BX13" i="16" s="1"/>
  <c r="BV11" i="16"/>
  <c r="BW11" i="16" s="1"/>
  <c r="BX11" i="16" s="1"/>
  <c r="BV5" i="16"/>
  <c r="BW5" i="16" s="1"/>
  <c r="BX5" i="16" s="1"/>
  <c r="CB5" i="16"/>
  <c r="CC5" i="16" s="1"/>
  <c r="CD5" i="16" s="1"/>
  <c r="CB11" i="16"/>
  <c r="CC11" i="16" s="1"/>
  <c r="CD11" i="16" s="1"/>
  <c r="BY10" i="16"/>
  <c r="BZ10" i="16" s="1"/>
  <c r="CA10" i="16" s="1"/>
  <c r="CE12" i="16"/>
  <c r="CF12" i="16" s="1"/>
  <c r="CG12" i="16" s="1"/>
  <c r="BO110" i="15"/>
  <c r="BS5" i="16"/>
  <c r="BT5" i="16" s="1"/>
  <c r="BU5" i="16" s="1"/>
  <c r="BS11" i="16"/>
  <c r="BT11" i="16" s="1"/>
  <c r="BU11" i="16" s="1"/>
  <c r="BS7" i="16"/>
  <c r="BT7" i="16" s="1"/>
  <c r="BU7" i="16" s="1"/>
  <c r="CB12" i="16"/>
  <c r="CC12" i="16" s="1"/>
  <c r="CD12" i="16" s="1"/>
  <c r="CB8" i="16"/>
  <c r="CC8" i="16" s="1"/>
  <c r="CD8" i="16" s="1"/>
  <c r="CE13" i="16"/>
  <c r="CF13" i="16" s="1"/>
  <c r="CG13" i="16" s="1"/>
  <c r="CH6" i="16"/>
  <c r="CI6" i="16" s="1"/>
  <c r="CJ6" i="16" s="1"/>
  <c r="BS9" i="16"/>
  <c r="BT9" i="16" s="1"/>
  <c r="BU9" i="16" s="1"/>
  <c r="CE7" i="16"/>
  <c r="CF7" i="16" s="1"/>
  <c r="CG7" i="16" s="1"/>
  <c r="BS10" i="16"/>
  <c r="BT10" i="16" s="1"/>
  <c r="BU10" i="16" s="1"/>
  <c r="BS6" i="16"/>
  <c r="BT6" i="16" s="1"/>
  <c r="BU6" i="16" s="1"/>
  <c r="BV10" i="16"/>
  <c r="BW10" i="16" s="1"/>
  <c r="BX10" i="16" s="1"/>
  <c r="BV6" i="16"/>
  <c r="BW6" i="16" s="1"/>
  <c r="BX6" i="16" s="1"/>
  <c r="CB13" i="16"/>
  <c r="CC13" i="16" s="1"/>
  <c r="CD13" i="16" s="1"/>
  <c r="BY12" i="16"/>
  <c r="BZ12" i="16" s="1"/>
  <c r="CA12" i="16" s="1"/>
  <c r="BY8" i="16"/>
  <c r="BZ8" i="16" s="1"/>
  <c r="CA8" i="16" s="1"/>
  <c r="CH5" i="16"/>
  <c r="CI5" i="16" s="1"/>
  <c r="CJ5" i="16" s="1"/>
  <c r="CH9" i="16"/>
  <c r="CI9" i="16" s="1"/>
  <c r="CJ9" i="16" s="1"/>
  <c r="BN110" i="15"/>
  <c r="BY11" i="16"/>
  <c r="BZ11" i="16" s="1"/>
  <c r="CA11" i="16" s="1"/>
  <c r="BY7" i="16"/>
  <c r="BZ7" i="16" s="1"/>
  <c r="CA7" i="16" s="1"/>
  <c r="CE5" i="16"/>
  <c r="CE9" i="16"/>
  <c r="CF9" i="16" s="1"/>
  <c r="CG9" i="16" s="1"/>
  <c r="BM110" i="15"/>
  <c r="BI110" i="15"/>
  <c r="BV9" i="16"/>
  <c r="BW9" i="16" s="1"/>
  <c r="BX9" i="16" s="1"/>
  <c r="CB7" i="16"/>
  <c r="CC7" i="16" s="1"/>
  <c r="CD7" i="16" s="1"/>
  <c r="CE8" i="16"/>
  <c r="CF8" i="16" s="1"/>
  <c r="CG8" i="16" s="1"/>
  <c r="BJ110" i="15"/>
  <c r="CH10" i="16"/>
  <c r="CI10" i="16" s="1"/>
  <c r="CJ10" i="16" s="1"/>
  <c r="BV12" i="16"/>
  <c r="BW12" i="16" s="1"/>
  <c r="BX12" i="16" s="1"/>
  <c r="BV8" i="16"/>
  <c r="BW8" i="16" s="1"/>
  <c r="BX8" i="16" s="1"/>
  <c r="CB9" i="16"/>
  <c r="CC9" i="16" s="1"/>
  <c r="CD9" i="16" s="1"/>
  <c r="CH11" i="16"/>
  <c r="CI11" i="16" s="1"/>
  <c r="CJ11" i="16" s="1"/>
  <c r="CE10" i="16"/>
  <c r="CF10" i="16" s="1"/>
  <c r="CG10" i="16" s="1"/>
  <c r="CH7" i="16"/>
  <c r="CI7" i="16" s="1"/>
  <c r="CJ7" i="16" s="1"/>
  <c r="CE6" i="16"/>
  <c r="CF6" i="16" s="1"/>
  <c r="CG6" i="16" s="1"/>
  <c r="BV7" i="16"/>
  <c r="BW7" i="16" s="1"/>
  <c r="BX7" i="16" s="1"/>
  <c r="BY6" i="16"/>
  <c r="BZ6" i="16" s="1"/>
  <c r="CA6" i="16" s="1"/>
  <c r="BY5" i="16"/>
  <c r="CB10" i="16"/>
  <c r="CC10" i="16" s="1"/>
  <c r="CD10" i="16" s="1"/>
  <c r="BY9" i="16"/>
  <c r="BZ9" i="16" s="1"/>
  <c r="CA9" i="16" s="1"/>
  <c r="CB6" i="16"/>
  <c r="CC6" i="16" s="1"/>
  <c r="CD6" i="16" s="1"/>
  <c r="BQ110" i="15"/>
  <c r="CH12" i="16"/>
  <c r="CI12" i="16" s="1"/>
  <c r="CJ12" i="16" s="1"/>
  <c r="CH8" i="16"/>
  <c r="CI8" i="16" s="1"/>
  <c r="CJ8" i="16" s="1"/>
  <c r="BP110" i="15"/>
  <c r="B59" i="17" l="1"/>
  <c r="BZ5" i="16"/>
  <c r="CA5" i="16" s="1"/>
  <c r="B86" i="17"/>
  <c r="B87" i="17"/>
  <c r="CF5" i="16"/>
  <c r="CG5" i="16" s="1"/>
  <c r="B60" i="17"/>
  <c r="F29" i="18" l="1"/>
  <c r="F30" i="18"/>
  <c r="F31" i="18"/>
  <c r="F32" i="18"/>
  <c r="F33" i="18"/>
  <c r="F34" i="18"/>
  <c r="F35" i="18"/>
  <c r="F11" i="18"/>
  <c r="F12" i="18"/>
  <c r="F13" i="18"/>
  <c r="F14" i="18"/>
  <c r="F15" i="18"/>
  <c r="F16" i="18"/>
  <c r="F17" i="18"/>
  <c r="E11" i="18"/>
  <c r="E12" i="18"/>
  <c r="E13" i="18"/>
  <c r="E14" i="18"/>
  <c r="E15" i="18"/>
  <c r="E16" i="18"/>
  <c r="E17" i="18"/>
  <c r="D22" i="18"/>
  <c r="E22" i="18"/>
  <c r="F22" i="18"/>
  <c r="D23" i="18"/>
  <c r="E23" i="18"/>
  <c r="F23" i="18"/>
  <c r="D24" i="18"/>
  <c r="E24" i="18"/>
  <c r="F24" i="18"/>
  <c r="D25" i="18"/>
  <c r="E25" i="18"/>
  <c r="F25" i="18"/>
  <c r="D26" i="18"/>
  <c r="E26" i="18"/>
  <c r="F26" i="18"/>
  <c r="D27" i="18"/>
  <c r="E27" i="18"/>
  <c r="F27" i="18"/>
  <c r="D28" i="18"/>
  <c r="E28" i="18"/>
  <c r="F28" i="18"/>
  <c r="D29" i="18"/>
  <c r="E29" i="18"/>
  <c r="D30" i="18"/>
  <c r="E30" i="18"/>
  <c r="D31" i="18"/>
  <c r="E31" i="18"/>
  <c r="D32" i="18"/>
  <c r="E32" i="18"/>
  <c r="D33" i="18"/>
  <c r="E33" i="18"/>
  <c r="D34" i="18"/>
  <c r="E34" i="18"/>
  <c r="D35" i="18"/>
  <c r="E35" i="18"/>
  <c r="E5" i="18"/>
  <c r="F5" i="18"/>
  <c r="E6" i="18"/>
  <c r="F6" i="18"/>
  <c r="E7" i="18"/>
  <c r="F7" i="18"/>
  <c r="E8" i="18"/>
  <c r="F8" i="18"/>
  <c r="E9" i="18"/>
  <c r="F9" i="18"/>
  <c r="E10" i="18"/>
  <c r="F10" i="18"/>
  <c r="F4" i="18"/>
  <c r="E4" i="18"/>
  <c r="B85" i="17"/>
  <c r="AQ25" i="15"/>
  <c r="AR25" i="15"/>
  <c r="AS25" i="15"/>
  <c r="AT25" i="15"/>
  <c r="AT71" i="15" s="1"/>
  <c r="AU25" i="15"/>
  <c r="AU71" i="15" s="1"/>
  <c r="AV25" i="15"/>
  <c r="AV71" i="15" s="1"/>
  <c r="AQ26" i="15"/>
  <c r="AR26" i="15"/>
  <c r="AS26" i="15"/>
  <c r="AT26" i="15"/>
  <c r="AU26" i="15"/>
  <c r="AV26" i="15"/>
  <c r="AK28" i="15"/>
  <c r="AL28" i="15"/>
  <c r="AM28" i="15"/>
  <c r="AN28" i="15"/>
  <c r="AO28" i="15"/>
  <c r="AP28" i="15"/>
  <c r="AQ28" i="15"/>
  <c r="AR28" i="15"/>
  <c r="AS28" i="15"/>
  <c r="AT28" i="15"/>
  <c r="AU28" i="15"/>
  <c r="AV28" i="15"/>
  <c r="AK29" i="15"/>
  <c r="AL29" i="15"/>
  <c r="AM29" i="15"/>
  <c r="AN29" i="15"/>
  <c r="AO29" i="15"/>
  <c r="AP29" i="15"/>
  <c r="AQ29" i="15"/>
  <c r="AR29" i="15"/>
  <c r="AS29" i="15"/>
  <c r="AT29" i="15"/>
  <c r="AU29" i="15"/>
  <c r="AV29" i="15"/>
  <c r="AK30" i="15"/>
  <c r="AL30" i="15"/>
  <c r="AM30" i="15"/>
  <c r="AN30" i="15"/>
  <c r="AO30" i="15"/>
  <c r="AP30" i="15"/>
  <c r="AQ30" i="15"/>
  <c r="AR30" i="15"/>
  <c r="AS30" i="15"/>
  <c r="AT30" i="15"/>
  <c r="AU30" i="15"/>
  <c r="AV30" i="15"/>
  <c r="AK31" i="15"/>
  <c r="AL31" i="15"/>
  <c r="AM31" i="15"/>
  <c r="AN31" i="15"/>
  <c r="AO31" i="15"/>
  <c r="AP31" i="15"/>
  <c r="AQ31" i="15"/>
  <c r="AR31" i="15"/>
  <c r="AS31" i="15"/>
  <c r="AT31" i="15"/>
  <c r="AU31" i="15"/>
  <c r="AV31" i="15"/>
  <c r="AK32" i="15"/>
  <c r="AL32" i="15"/>
  <c r="AM32" i="15"/>
  <c r="AN32" i="15"/>
  <c r="AO32" i="15"/>
  <c r="AP32" i="15"/>
  <c r="AQ32" i="15"/>
  <c r="AR32" i="15"/>
  <c r="AS32" i="15"/>
  <c r="AT32" i="15"/>
  <c r="AU32" i="15"/>
  <c r="AV32" i="15"/>
  <c r="AK33" i="15"/>
  <c r="AL33" i="15"/>
  <c r="AM33" i="15"/>
  <c r="AN33" i="15"/>
  <c r="AO33" i="15"/>
  <c r="AP33" i="15"/>
  <c r="AQ33" i="15"/>
  <c r="AR33" i="15"/>
  <c r="AS33" i="15"/>
  <c r="AT33" i="15"/>
  <c r="AU33" i="15"/>
  <c r="AV33" i="15"/>
  <c r="AK34" i="15"/>
  <c r="AL34" i="15"/>
  <c r="AM34" i="15"/>
  <c r="AN34" i="15"/>
  <c r="AO34" i="15"/>
  <c r="AP34" i="15"/>
  <c r="AQ34" i="15"/>
  <c r="AR34" i="15"/>
  <c r="AS34" i="15"/>
  <c r="AT34" i="15"/>
  <c r="AU34" i="15"/>
  <c r="AV34" i="15"/>
  <c r="AK35" i="15"/>
  <c r="AL35" i="15"/>
  <c r="AM35" i="15"/>
  <c r="AN35" i="15"/>
  <c r="AO35" i="15"/>
  <c r="AP35" i="15"/>
  <c r="AQ35" i="15"/>
  <c r="AR35" i="15"/>
  <c r="AS35" i="15"/>
  <c r="AT35" i="15"/>
  <c r="AU35" i="15"/>
  <c r="AV35" i="15"/>
  <c r="AK36" i="15"/>
  <c r="AL36" i="15"/>
  <c r="AM36" i="15"/>
  <c r="AN36" i="15"/>
  <c r="AO36" i="15"/>
  <c r="AP36" i="15"/>
  <c r="AQ36" i="15"/>
  <c r="AR36" i="15"/>
  <c r="AS36" i="15"/>
  <c r="AT36" i="15"/>
  <c r="AU36" i="15"/>
  <c r="AV36" i="15"/>
  <c r="AK37" i="15"/>
  <c r="AL37" i="15"/>
  <c r="AM37" i="15"/>
  <c r="AN37" i="15"/>
  <c r="AO37" i="15"/>
  <c r="AP37" i="15"/>
  <c r="AQ37" i="15"/>
  <c r="AR37" i="15"/>
  <c r="AS37" i="15"/>
  <c r="AT37" i="15"/>
  <c r="AU37" i="15"/>
  <c r="AV37" i="15"/>
  <c r="AK38" i="15"/>
  <c r="AL38" i="15"/>
  <c r="AM38" i="15"/>
  <c r="AN38" i="15"/>
  <c r="AO38" i="15"/>
  <c r="AP38" i="15"/>
  <c r="AQ38" i="15"/>
  <c r="AR38" i="15"/>
  <c r="AS38" i="15"/>
  <c r="AT38" i="15"/>
  <c r="AU38" i="15"/>
  <c r="AV38" i="15"/>
  <c r="AK39" i="15"/>
  <c r="AL39" i="15"/>
  <c r="AM39" i="15"/>
  <c r="AN39" i="15"/>
  <c r="AO39" i="15"/>
  <c r="AP39" i="15"/>
  <c r="AQ39" i="15"/>
  <c r="AR39" i="15"/>
  <c r="AS39" i="15"/>
  <c r="AT39" i="15"/>
  <c r="AU39" i="15"/>
  <c r="AV39" i="15"/>
  <c r="AK40" i="15"/>
  <c r="AL40" i="15"/>
  <c r="AM40" i="15"/>
  <c r="AN40" i="15"/>
  <c r="AO40" i="15"/>
  <c r="AP40" i="15"/>
  <c r="AQ40" i="15"/>
  <c r="AR40" i="15"/>
  <c r="AS40" i="15"/>
  <c r="AT40" i="15"/>
  <c r="AU40" i="15"/>
  <c r="AV40" i="15"/>
  <c r="AK41" i="15"/>
  <c r="AL41" i="15"/>
  <c r="AM41" i="15"/>
  <c r="AN41" i="15"/>
  <c r="AO41" i="15"/>
  <c r="AP41" i="15"/>
  <c r="AQ41" i="15"/>
  <c r="AR41" i="15"/>
  <c r="AS41" i="15"/>
  <c r="AT41" i="15"/>
  <c r="AU41" i="15"/>
  <c r="AV41" i="15"/>
  <c r="AK42" i="15"/>
  <c r="AL42" i="15"/>
  <c r="AM42" i="15"/>
  <c r="AN42" i="15"/>
  <c r="AO42" i="15"/>
  <c r="AP42" i="15"/>
  <c r="AQ42" i="15"/>
  <c r="AR42" i="15"/>
  <c r="AS42" i="15"/>
  <c r="AT42" i="15"/>
  <c r="AU42" i="15"/>
  <c r="AV42" i="15"/>
  <c r="AK43" i="15"/>
  <c r="AL43" i="15"/>
  <c r="AM43" i="15"/>
  <c r="AN43" i="15"/>
  <c r="AO43" i="15"/>
  <c r="AP43" i="15"/>
  <c r="AQ43" i="15"/>
  <c r="AR43" i="15"/>
  <c r="AS43" i="15"/>
  <c r="AT43" i="15"/>
  <c r="AU43" i="15"/>
  <c r="AV43" i="15"/>
  <c r="AK44" i="15"/>
  <c r="AL44" i="15"/>
  <c r="AM44" i="15"/>
  <c r="AN44" i="15"/>
  <c r="AO44" i="15"/>
  <c r="AP44" i="15"/>
  <c r="AQ44" i="15"/>
  <c r="AR44" i="15"/>
  <c r="AS44" i="15"/>
  <c r="AT44" i="15"/>
  <c r="AU44" i="15"/>
  <c r="AV44" i="15"/>
  <c r="AK45" i="15"/>
  <c r="AL45" i="15"/>
  <c r="AM45" i="15"/>
  <c r="AN45" i="15"/>
  <c r="AO45" i="15"/>
  <c r="AP45" i="15"/>
  <c r="AQ45" i="15"/>
  <c r="AR45" i="15"/>
  <c r="AS45" i="15"/>
  <c r="AT45" i="15"/>
  <c r="AU45" i="15"/>
  <c r="AV45" i="15"/>
  <c r="AK46" i="15"/>
  <c r="AL46" i="15"/>
  <c r="AM46" i="15"/>
  <c r="AN46" i="15"/>
  <c r="AO46" i="15"/>
  <c r="AP46" i="15"/>
  <c r="AQ46" i="15"/>
  <c r="AR46" i="15"/>
  <c r="AS46" i="15"/>
  <c r="AT46" i="15"/>
  <c r="AU46" i="15"/>
  <c r="AV46" i="15"/>
  <c r="AK47" i="15"/>
  <c r="AL47" i="15"/>
  <c r="AM47" i="15"/>
  <c r="AN47" i="15"/>
  <c r="AO47" i="15"/>
  <c r="AP47" i="15"/>
  <c r="AQ47" i="15"/>
  <c r="AR47" i="15"/>
  <c r="AS47" i="15"/>
  <c r="AT47" i="15"/>
  <c r="AU47" i="15"/>
  <c r="AV47" i="15"/>
  <c r="AK48" i="15"/>
  <c r="AL48" i="15"/>
  <c r="AM48" i="15"/>
  <c r="AN48" i="15"/>
  <c r="AO48" i="15"/>
  <c r="AP48" i="15"/>
  <c r="AQ48" i="15"/>
  <c r="AR48" i="15"/>
  <c r="AS48" i="15"/>
  <c r="AT48" i="15"/>
  <c r="AU48" i="15"/>
  <c r="AV48" i="15"/>
  <c r="AK49" i="15"/>
  <c r="AL49" i="15"/>
  <c r="AM49" i="15"/>
  <c r="AN49" i="15"/>
  <c r="AO49" i="15"/>
  <c r="AP49" i="15"/>
  <c r="AQ49" i="15"/>
  <c r="AR49" i="15"/>
  <c r="AS49" i="15"/>
  <c r="AT49" i="15"/>
  <c r="AU49" i="15"/>
  <c r="AV49" i="15"/>
  <c r="AK50" i="15"/>
  <c r="AL50" i="15"/>
  <c r="AM50" i="15"/>
  <c r="AN50" i="15"/>
  <c r="AO50" i="15"/>
  <c r="AP50" i="15"/>
  <c r="AQ50" i="15"/>
  <c r="AR50" i="15"/>
  <c r="AS50" i="15"/>
  <c r="AT50" i="15"/>
  <c r="AU50" i="15"/>
  <c r="AV50" i="15"/>
  <c r="AK51" i="15"/>
  <c r="AL51" i="15"/>
  <c r="AM51" i="15"/>
  <c r="AN51" i="15"/>
  <c r="AO51" i="15"/>
  <c r="AP51" i="15"/>
  <c r="AQ51" i="15"/>
  <c r="AR51" i="15"/>
  <c r="AS51" i="15"/>
  <c r="AT51" i="15"/>
  <c r="AU51" i="15"/>
  <c r="AV51" i="15"/>
  <c r="AK52" i="15"/>
  <c r="AL52" i="15"/>
  <c r="AM52" i="15"/>
  <c r="AN52" i="15"/>
  <c r="AO52" i="15"/>
  <c r="AP52" i="15"/>
  <c r="AQ52" i="15"/>
  <c r="AR52" i="15"/>
  <c r="AS52" i="15"/>
  <c r="AT52" i="15"/>
  <c r="AU52" i="15"/>
  <c r="AV52" i="15"/>
  <c r="AK53" i="15"/>
  <c r="AL53" i="15"/>
  <c r="AM53" i="15"/>
  <c r="AN53" i="15"/>
  <c r="AO53" i="15"/>
  <c r="AP53" i="15"/>
  <c r="AQ53" i="15"/>
  <c r="AR53" i="15"/>
  <c r="AS53" i="15"/>
  <c r="AT53" i="15"/>
  <c r="AU53" i="15"/>
  <c r="AV53" i="15"/>
  <c r="AK54" i="15"/>
  <c r="AL54" i="15"/>
  <c r="AM54" i="15"/>
  <c r="AN54" i="15"/>
  <c r="AO54" i="15"/>
  <c r="AP54" i="15"/>
  <c r="AQ54" i="15"/>
  <c r="AR54" i="15"/>
  <c r="AS54" i="15"/>
  <c r="AT54" i="15"/>
  <c r="AU54" i="15"/>
  <c r="AV54" i="15"/>
  <c r="AK55" i="15"/>
  <c r="AL55" i="15"/>
  <c r="AM55" i="15"/>
  <c r="AN55" i="15"/>
  <c r="AO55" i="15"/>
  <c r="AP55" i="15"/>
  <c r="AQ55" i="15"/>
  <c r="AR55" i="15"/>
  <c r="AS55" i="15"/>
  <c r="AT55" i="15"/>
  <c r="AU55" i="15"/>
  <c r="AV55" i="15"/>
  <c r="AK56" i="15"/>
  <c r="AL56" i="15"/>
  <c r="AM56" i="15"/>
  <c r="AN56" i="15"/>
  <c r="AO56" i="15"/>
  <c r="AP56" i="15"/>
  <c r="AQ56" i="15"/>
  <c r="AR56" i="15"/>
  <c r="AS56" i="15"/>
  <c r="AT56" i="15"/>
  <c r="AU56" i="15"/>
  <c r="AV56" i="15"/>
  <c r="AK57" i="15"/>
  <c r="AL57" i="15"/>
  <c r="AM57" i="15"/>
  <c r="AN57" i="15"/>
  <c r="AO57" i="15"/>
  <c r="AP57" i="15"/>
  <c r="AQ57" i="15"/>
  <c r="AR57" i="15"/>
  <c r="AS57" i="15"/>
  <c r="AT57" i="15"/>
  <c r="AU57" i="15"/>
  <c r="AV57" i="15"/>
  <c r="AK58" i="15"/>
  <c r="AL58" i="15"/>
  <c r="AM58" i="15"/>
  <c r="AN58" i="15"/>
  <c r="AO58" i="15"/>
  <c r="AP58" i="15"/>
  <c r="AQ58" i="15"/>
  <c r="AR58" i="15"/>
  <c r="AS58" i="15"/>
  <c r="AT58" i="15"/>
  <c r="AU58" i="15"/>
  <c r="AV58" i="15"/>
  <c r="AK59" i="15"/>
  <c r="AL59" i="15"/>
  <c r="AM59" i="15"/>
  <c r="AN59" i="15"/>
  <c r="AO59" i="15"/>
  <c r="AP59" i="15"/>
  <c r="AQ59" i="15"/>
  <c r="AR59" i="15"/>
  <c r="AS59" i="15"/>
  <c r="AT59" i="15"/>
  <c r="AU59" i="15"/>
  <c r="AV59" i="15"/>
  <c r="AK60" i="15"/>
  <c r="AL60" i="15"/>
  <c r="AM60" i="15"/>
  <c r="AN60" i="15"/>
  <c r="AO60" i="15"/>
  <c r="AP60" i="15"/>
  <c r="AQ60" i="15"/>
  <c r="AR60" i="15"/>
  <c r="AS60" i="15"/>
  <c r="AT60" i="15"/>
  <c r="AU60" i="15"/>
  <c r="AV60" i="15"/>
  <c r="AK61" i="15"/>
  <c r="AL61" i="15"/>
  <c r="AM61" i="15"/>
  <c r="AN61" i="15"/>
  <c r="AO61" i="15"/>
  <c r="AP61" i="15"/>
  <c r="AQ61" i="15"/>
  <c r="AR61" i="15"/>
  <c r="AS61" i="15"/>
  <c r="AT61" i="15"/>
  <c r="AU61" i="15"/>
  <c r="AV61" i="15"/>
  <c r="AK62" i="15"/>
  <c r="AL62" i="15"/>
  <c r="AM62" i="15"/>
  <c r="AN62" i="15"/>
  <c r="AO62" i="15"/>
  <c r="AP62" i="15"/>
  <c r="AQ62" i="15"/>
  <c r="AR62" i="15"/>
  <c r="AS62" i="15"/>
  <c r="AT62" i="15"/>
  <c r="AU62" i="15"/>
  <c r="AV62" i="15"/>
  <c r="AH28" i="15"/>
  <c r="AI28" i="15"/>
  <c r="AJ28" i="15"/>
  <c r="AH29" i="15"/>
  <c r="AI29" i="15"/>
  <c r="AJ29" i="15"/>
  <c r="AH30" i="15"/>
  <c r="AI30" i="15"/>
  <c r="AJ30" i="15"/>
  <c r="AH31" i="15"/>
  <c r="AI31" i="15"/>
  <c r="AJ31" i="15"/>
  <c r="AH32" i="15"/>
  <c r="AI32" i="15"/>
  <c r="AJ32" i="15"/>
  <c r="AH33" i="15"/>
  <c r="AI33" i="15"/>
  <c r="AJ33" i="15"/>
  <c r="AH34" i="15"/>
  <c r="AI34" i="15"/>
  <c r="AJ34" i="15"/>
  <c r="AH35" i="15"/>
  <c r="AI35" i="15"/>
  <c r="AJ35" i="15"/>
  <c r="AH36" i="15"/>
  <c r="AI36" i="15"/>
  <c r="AJ36" i="15"/>
  <c r="AH37" i="15"/>
  <c r="AI37" i="15"/>
  <c r="AJ37" i="15"/>
  <c r="AH38" i="15"/>
  <c r="AI38" i="15"/>
  <c r="AJ38" i="15"/>
  <c r="AH39" i="15"/>
  <c r="AI39" i="15"/>
  <c r="AJ39" i="15"/>
  <c r="AH40" i="15"/>
  <c r="AI40" i="15"/>
  <c r="AJ40" i="15"/>
  <c r="AH41" i="15"/>
  <c r="AI41" i="15"/>
  <c r="AJ41" i="15"/>
  <c r="AH42" i="15"/>
  <c r="AI42" i="15"/>
  <c r="AJ42" i="15"/>
  <c r="AH43" i="15"/>
  <c r="AI43" i="15"/>
  <c r="AJ43" i="15"/>
  <c r="AH44" i="15"/>
  <c r="AI44" i="15"/>
  <c r="AJ44" i="15"/>
  <c r="AH45" i="15"/>
  <c r="AI45" i="15"/>
  <c r="AJ45" i="15"/>
  <c r="AH46" i="15"/>
  <c r="AI46" i="15"/>
  <c r="AJ46" i="15"/>
  <c r="AH47" i="15"/>
  <c r="AI47" i="15"/>
  <c r="AJ47" i="15"/>
  <c r="AH48" i="15"/>
  <c r="AI48" i="15"/>
  <c r="AJ48" i="15"/>
  <c r="AH49" i="15"/>
  <c r="AI49" i="15"/>
  <c r="AJ49" i="15"/>
  <c r="AH50" i="15"/>
  <c r="AI50" i="15"/>
  <c r="AJ50" i="15"/>
  <c r="AH51" i="15"/>
  <c r="AI51" i="15"/>
  <c r="AJ51" i="15"/>
  <c r="AH52" i="15"/>
  <c r="AI52" i="15"/>
  <c r="AJ52" i="15"/>
  <c r="AH53" i="15"/>
  <c r="AI53" i="15"/>
  <c r="AJ53" i="15"/>
  <c r="AH54" i="15"/>
  <c r="AI54" i="15"/>
  <c r="AJ54" i="15"/>
  <c r="AH55" i="15"/>
  <c r="AI55" i="15"/>
  <c r="AJ55" i="15"/>
  <c r="AH56" i="15"/>
  <c r="AI56" i="15"/>
  <c r="AJ56" i="15"/>
  <c r="AH57" i="15"/>
  <c r="AI57" i="15"/>
  <c r="AJ57" i="15"/>
  <c r="AH58" i="15"/>
  <c r="AI58" i="15"/>
  <c r="AJ58" i="15"/>
  <c r="AH59" i="15"/>
  <c r="AI59" i="15"/>
  <c r="AJ59" i="15"/>
  <c r="AH60" i="15"/>
  <c r="AI60" i="15"/>
  <c r="AJ60" i="15"/>
  <c r="AH61" i="15"/>
  <c r="AI61" i="15"/>
  <c r="AJ61" i="15"/>
  <c r="AH62" i="15"/>
  <c r="AI62" i="15"/>
  <c r="AJ62" i="15"/>
  <c r="S16" i="15"/>
  <c r="S15" i="15"/>
  <c r="S14" i="15"/>
  <c r="P16" i="15"/>
  <c r="AM25" i="15" s="1"/>
  <c r="P15" i="15"/>
  <c r="AF25" i="15" s="1"/>
  <c r="P14" i="15"/>
  <c r="AN25" i="15" s="1"/>
  <c r="AQ71" i="15" s="1"/>
  <c r="M16" i="15"/>
  <c r="M15" i="15"/>
  <c r="M14" i="15"/>
  <c r="J16" i="15"/>
  <c r="J15" i="15"/>
  <c r="J14" i="15"/>
  <c r="G16" i="15"/>
  <c r="BB21" i="15" s="1"/>
  <c r="G15" i="15"/>
  <c r="BA21" i="15" s="1"/>
  <c r="G14" i="15"/>
  <c r="AZ21" i="15" s="1"/>
  <c r="D16" i="15"/>
  <c r="AJ22" i="15" s="1"/>
  <c r="AJ68" i="15" s="1"/>
  <c r="D15" i="15"/>
  <c r="AR22" i="15" s="1"/>
  <c r="AR68" i="15" s="1"/>
  <c r="D14" i="15"/>
  <c r="AN22" i="15" s="1"/>
  <c r="AN68" i="15" s="1"/>
  <c r="E162" i="15"/>
  <c r="E161" i="15"/>
  <c r="E160" i="15"/>
  <c r="E159" i="15"/>
  <c r="E158" i="15"/>
  <c r="E157" i="15"/>
  <c r="E156" i="15"/>
  <c r="E155" i="15"/>
  <c r="E154" i="15"/>
  <c r="E153" i="15"/>
  <c r="E152" i="15"/>
  <c r="E151" i="15"/>
  <c r="E150" i="15"/>
  <c r="E149" i="15"/>
  <c r="E148" i="15"/>
  <c r="E147" i="15"/>
  <c r="E146" i="15"/>
  <c r="E145" i="15"/>
  <c r="E144" i="15"/>
  <c r="E143" i="15"/>
  <c r="E142" i="15"/>
  <c r="D162" i="15"/>
  <c r="D161" i="15"/>
  <c r="D160" i="15"/>
  <c r="D159" i="15"/>
  <c r="D158" i="15"/>
  <c r="D157" i="15"/>
  <c r="D156" i="15"/>
  <c r="D155" i="15"/>
  <c r="D154" i="15"/>
  <c r="D153" i="15"/>
  <c r="D152" i="15"/>
  <c r="D151" i="15"/>
  <c r="D150" i="15"/>
  <c r="D149" i="15"/>
  <c r="D148" i="15"/>
  <c r="D147" i="15"/>
  <c r="D146" i="15"/>
  <c r="D145" i="15"/>
  <c r="D144" i="15"/>
  <c r="D143" i="15"/>
  <c r="D142" i="15"/>
  <c r="C162" i="15"/>
  <c r="C161" i="15"/>
  <c r="C160" i="15"/>
  <c r="C159" i="15"/>
  <c r="C158" i="15"/>
  <c r="C157" i="15"/>
  <c r="C156" i="15"/>
  <c r="C155" i="15"/>
  <c r="C154" i="15"/>
  <c r="C153" i="15"/>
  <c r="C152" i="15"/>
  <c r="C151" i="15"/>
  <c r="C150" i="15"/>
  <c r="C149" i="15"/>
  <c r="C148" i="15"/>
  <c r="C147" i="15"/>
  <c r="C146" i="15"/>
  <c r="C145" i="15"/>
  <c r="C144" i="15"/>
  <c r="C143" i="15"/>
  <c r="C142" i="15"/>
  <c r="AL45" i="16" l="1"/>
  <c r="B58" i="17"/>
  <c r="W64" i="17"/>
  <c r="X64" i="17" s="1"/>
  <c r="W60" i="17"/>
  <c r="X60" i="17" s="1"/>
  <c r="H30" i="18" s="1"/>
  <c r="AB3" i="18"/>
  <c r="AB21" i="15"/>
  <c r="AB67" i="15" s="1"/>
  <c r="AC27" i="15"/>
  <c r="AC73" i="15" s="1"/>
  <c r="AP21" i="15"/>
  <c r="K43" i="16"/>
  <c r="W45" i="16"/>
  <c r="AC44" i="16"/>
  <c r="AI43" i="16"/>
  <c r="BM5" i="16"/>
  <c r="B57" i="17" s="1"/>
  <c r="AC45" i="16"/>
  <c r="AB23" i="15"/>
  <c r="AB69" i="15" s="1"/>
  <c r="AM27" i="15"/>
  <c r="AM73" i="15" s="1"/>
  <c r="AF26" i="15"/>
  <c r="AI72" i="15" s="1"/>
  <c r="AQ23" i="15"/>
  <c r="AQ69" i="15" s="1"/>
  <c r="AF22" i="15"/>
  <c r="AF68" i="15" s="1"/>
  <c r="AY21" i="15"/>
  <c r="AY67" i="15" s="1"/>
  <c r="AB27" i="15"/>
  <c r="AB73" i="15" s="1"/>
  <c r="AB22" i="15"/>
  <c r="AB68" i="15" s="1"/>
  <c r="AE26" i="15"/>
  <c r="AH72" i="15" s="1"/>
  <c r="AI25" i="15"/>
  <c r="AT21" i="15"/>
  <c r="AT67" i="15" s="1"/>
  <c r="AU24" i="15"/>
  <c r="AU70" i="15" s="1"/>
  <c r="AM23" i="15"/>
  <c r="AM69" i="15" s="1"/>
  <c r="AB26" i="15"/>
  <c r="AE72" i="15" s="1"/>
  <c r="AE21" i="15"/>
  <c r="AE67" i="15" s="1"/>
  <c r="AE25" i="15"/>
  <c r="AH24" i="15"/>
  <c r="AH70" i="15" s="1"/>
  <c r="AU27" i="15"/>
  <c r="AU73" i="15" s="1"/>
  <c r="AQ24" i="15"/>
  <c r="AQ70" i="15" s="1"/>
  <c r="AU22" i="15"/>
  <c r="AU68" i="15" s="1"/>
  <c r="BG21" i="16"/>
  <c r="BA44" i="16"/>
  <c r="BG37" i="16"/>
  <c r="BM44" i="16"/>
  <c r="AC23" i="15"/>
  <c r="AC69" i="15" s="1"/>
  <c r="AG27" i="15"/>
  <c r="AG73" i="15" s="1"/>
  <c r="AG23" i="15"/>
  <c r="AG69" i="15" s="1"/>
  <c r="AL21" i="15"/>
  <c r="AL67" i="15" s="1"/>
  <c r="AQ27" i="15"/>
  <c r="AQ73" i="15" s="1"/>
  <c r="AU23" i="15"/>
  <c r="AU69" i="15" s="1"/>
  <c r="AQ22" i="15"/>
  <c r="AQ68" i="15" s="1"/>
  <c r="E42" i="16"/>
  <c r="E34" i="16"/>
  <c r="E26" i="16"/>
  <c r="E18" i="16"/>
  <c r="K31" i="16"/>
  <c r="K23" i="16"/>
  <c r="K15" i="16"/>
  <c r="Q42" i="16"/>
  <c r="Q34" i="16"/>
  <c r="Q26" i="16"/>
  <c r="Q18" i="16"/>
  <c r="W41" i="16"/>
  <c r="W33" i="16"/>
  <c r="W25" i="16"/>
  <c r="W17" i="16"/>
  <c r="AC32" i="16"/>
  <c r="AC30" i="16"/>
  <c r="AC24" i="16"/>
  <c r="AC12" i="16"/>
  <c r="AI35" i="16"/>
  <c r="AI27" i="16"/>
  <c r="AO34" i="16"/>
  <c r="K20" i="16"/>
  <c r="E38" i="16"/>
  <c r="E30" i="16"/>
  <c r="E22" i="16"/>
  <c r="E14" i="16"/>
  <c r="K39" i="16"/>
  <c r="K36" i="16"/>
  <c r="K35" i="16"/>
  <c r="K27" i="16"/>
  <c r="K19" i="16"/>
  <c r="Q38" i="16"/>
  <c r="Q30" i="16"/>
  <c r="Q22" i="16"/>
  <c r="Q14" i="16"/>
  <c r="Q12" i="16"/>
  <c r="W37" i="16"/>
  <c r="W29" i="16"/>
  <c r="W21" i="16"/>
  <c r="W13" i="16"/>
  <c r="AC40" i="16"/>
  <c r="AC36" i="16"/>
  <c r="AC28" i="16"/>
  <c r="AC20" i="16"/>
  <c r="AC16" i="16"/>
  <c r="AI39" i="16"/>
  <c r="AI31" i="16"/>
  <c r="AI23" i="16"/>
  <c r="AI19" i="16"/>
  <c r="AI15" i="16"/>
  <c r="AO42" i="16"/>
  <c r="AO38" i="16"/>
  <c r="AO30" i="16"/>
  <c r="E16" i="16"/>
  <c r="Q44" i="16"/>
  <c r="Q28" i="16"/>
  <c r="AC14" i="16"/>
  <c r="E45" i="16"/>
  <c r="F45" i="16" s="1"/>
  <c r="G45" i="16" s="1"/>
  <c r="E41" i="16"/>
  <c r="E37" i="16"/>
  <c r="AI38" i="16"/>
  <c r="AI22" i="16"/>
  <c r="AO26" i="16"/>
  <c r="AO18" i="16"/>
  <c r="E43" i="16"/>
  <c r="E39" i="16"/>
  <c r="E35" i="16"/>
  <c r="E31" i="16"/>
  <c r="E27" i="16"/>
  <c r="E23" i="16"/>
  <c r="E19" i="16"/>
  <c r="E15" i="16"/>
  <c r="K44" i="16"/>
  <c r="K40" i="16"/>
  <c r="K32" i="16"/>
  <c r="K28" i="16"/>
  <c r="K24" i="16"/>
  <c r="K16" i="16"/>
  <c r="K12" i="16"/>
  <c r="Q43" i="16"/>
  <c r="Q39" i="16"/>
  <c r="Q35" i="16"/>
  <c r="Q31" i="16"/>
  <c r="Q27" i="16"/>
  <c r="Q23" i="16"/>
  <c r="Q19" i="16"/>
  <c r="Q15" i="16"/>
  <c r="W42" i="16"/>
  <c r="W38" i="16"/>
  <c r="W34" i="16"/>
  <c r="W30" i="16"/>
  <c r="W26" i="16"/>
  <c r="W22" i="16"/>
  <c r="W18" i="16"/>
  <c r="W14" i="16"/>
  <c r="AC41" i="16"/>
  <c r="AC37" i="16"/>
  <c r="AC33" i="16"/>
  <c r="AC29" i="16"/>
  <c r="AC25" i="16"/>
  <c r="AC21" i="16"/>
  <c r="AC17" i="16"/>
  <c r="AC13" i="16"/>
  <c r="AI44" i="16"/>
  <c r="AI40" i="16"/>
  <c r="AI36" i="16"/>
  <c r="AI32" i="16"/>
  <c r="AI28" i="16"/>
  <c r="AI24" i="16"/>
  <c r="AI20" i="16"/>
  <c r="AI16" i="16"/>
  <c r="AI12" i="16"/>
  <c r="BA42" i="16"/>
  <c r="BA38" i="16"/>
  <c r="BA34" i="16"/>
  <c r="BA30" i="16"/>
  <c r="BA26" i="16"/>
  <c r="BA22" i="16"/>
  <c r="BA18" i="16"/>
  <c r="BA14" i="16"/>
  <c r="BA10" i="16"/>
  <c r="BA6" i="16"/>
  <c r="BG44" i="16"/>
  <c r="BG40" i="16"/>
  <c r="BM30" i="16"/>
  <c r="AM24" i="15"/>
  <c r="AM70" i="15" s="1"/>
  <c r="AO22" i="16"/>
  <c r="AO14" i="16"/>
  <c r="E44" i="16"/>
  <c r="E40" i="16"/>
  <c r="E36" i="16"/>
  <c r="E32" i="16"/>
  <c r="E28" i="16"/>
  <c r="E24" i="16"/>
  <c r="E20" i="16"/>
  <c r="E12" i="16"/>
  <c r="K45" i="16"/>
  <c r="L45" i="16" s="1"/>
  <c r="M45" i="16" s="1"/>
  <c r="K41" i="16"/>
  <c r="K37" i="16"/>
  <c r="K33" i="16"/>
  <c r="K29" i="16"/>
  <c r="K25" i="16"/>
  <c r="K21" i="16"/>
  <c r="K17" i="16"/>
  <c r="K13" i="16"/>
  <c r="Q40" i="16"/>
  <c r="Q36" i="16"/>
  <c r="Q32" i="16"/>
  <c r="Q24" i="16"/>
  <c r="Q20" i="16"/>
  <c r="Q16" i="16"/>
  <c r="W43" i="16"/>
  <c r="W39" i="16"/>
  <c r="W35" i="16"/>
  <c r="W31" i="16"/>
  <c r="W27" i="16"/>
  <c r="W23" i="16"/>
  <c r="W19" i="16"/>
  <c r="W15" i="16"/>
  <c r="AC42" i="16"/>
  <c r="AC38" i="16"/>
  <c r="AC34" i="16"/>
  <c r="AC26" i="16"/>
  <c r="AC22" i="16"/>
  <c r="AC18" i="16"/>
  <c r="AI45" i="16"/>
  <c r="AJ45" i="16" s="1"/>
  <c r="AK45" i="16" s="1"/>
  <c r="AI41" i="16"/>
  <c r="AI37" i="16"/>
  <c r="AI33" i="16"/>
  <c r="AI29" i="16"/>
  <c r="AI25" i="16"/>
  <c r="AI21" i="16"/>
  <c r="AI17" i="16"/>
  <c r="AI13" i="16"/>
  <c r="AO44" i="16"/>
  <c r="AO40" i="16"/>
  <c r="AO36" i="16"/>
  <c r="AO32" i="16"/>
  <c r="AO28" i="16"/>
  <c r="AO24" i="16"/>
  <c r="AO20" i="16"/>
  <c r="AO16" i="16"/>
  <c r="AO12" i="16"/>
  <c r="AX11" i="16"/>
  <c r="AY11" i="16" s="1"/>
  <c r="AX21" i="15"/>
  <c r="AX67" i="15" s="1"/>
  <c r="AJ21" i="15"/>
  <c r="AJ67" i="15" s="1"/>
  <c r="E33" i="16"/>
  <c r="E29" i="16"/>
  <c r="E25" i="16"/>
  <c r="E21" i="16"/>
  <c r="E17" i="16"/>
  <c r="E13" i="16"/>
  <c r="K42" i="16"/>
  <c r="K38" i="16"/>
  <c r="K34" i="16"/>
  <c r="K30" i="16"/>
  <c r="K26" i="16"/>
  <c r="K22" i="16"/>
  <c r="K18" i="16"/>
  <c r="K14" i="16"/>
  <c r="Q45" i="16"/>
  <c r="R45" i="16" s="1"/>
  <c r="S45" i="16" s="1"/>
  <c r="Q41" i="16"/>
  <c r="Q37" i="16"/>
  <c r="Q33" i="16"/>
  <c r="Q29" i="16"/>
  <c r="Q25" i="16"/>
  <c r="Q21" i="16"/>
  <c r="Q17" i="16"/>
  <c r="Q13" i="16"/>
  <c r="W44" i="16"/>
  <c r="W40" i="16"/>
  <c r="W36" i="16"/>
  <c r="W32" i="16"/>
  <c r="W28" i="16"/>
  <c r="W24" i="16"/>
  <c r="W20" i="16"/>
  <c r="W16" i="16"/>
  <c r="W12" i="16"/>
  <c r="AC43" i="16"/>
  <c r="AC39" i="16"/>
  <c r="AC35" i="16"/>
  <c r="AC31" i="16"/>
  <c r="AC27" i="16"/>
  <c r="AC23" i="16"/>
  <c r="AC19" i="16"/>
  <c r="AC15" i="16"/>
  <c r="AI42" i="16"/>
  <c r="AI34" i="16"/>
  <c r="AI30" i="16"/>
  <c r="AI26" i="16"/>
  <c r="AI18" i="16"/>
  <c r="AI14" i="16"/>
  <c r="AO45" i="16"/>
  <c r="AP45" i="16" s="1"/>
  <c r="AQ45" i="16" s="1"/>
  <c r="BA40" i="16"/>
  <c r="BA36" i="16"/>
  <c r="BA32" i="16"/>
  <c r="BA28" i="16"/>
  <c r="BA24" i="16"/>
  <c r="BA20" i="16"/>
  <c r="BA16" i="16"/>
  <c r="BA12" i="16"/>
  <c r="BA8" i="16"/>
  <c r="BG42" i="16"/>
  <c r="BG38" i="16"/>
  <c r="BG34" i="16"/>
  <c r="BG30" i="16"/>
  <c r="BG26" i="16"/>
  <c r="BG22" i="16"/>
  <c r="BG18" i="16"/>
  <c r="BG14" i="16"/>
  <c r="BG10" i="16"/>
  <c r="BG6" i="16"/>
  <c r="BM40" i="16"/>
  <c r="BM36" i="16"/>
  <c r="BM32" i="16"/>
  <c r="BM28" i="16"/>
  <c r="BM24" i="16"/>
  <c r="BM20" i="16"/>
  <c r="BM16" i="16"/>
  <c r="BM12" i="16"/>
  <c r="BM8" i="16"/>
  <c r="AV22" i="15"/>
  <c r="AV68" i="15" s="1"/>
  <c r="AV23" i="15"/>
  <c r="AV69" i="15" s="1"/>
  <c r="AV24" i="15"/>
  <c r="AV70" i="15" s="1"/>
  <c r="AV27" i="15"/>
  <c r="AV73" i="15" s="1"/>
  <c r="AS21" i="15"/>
  <c r="AJ25" i="15"/>
  <c r="AM71" i="15" s="1"/>
  <c r="AG22" i="15"/>
  <c r="AG68" i="15" s="1"/>
  <c r="AG21" i="15"/>
  <c r="AG67" i="15" s="1"/>
  <c r="AD23" i="15"/>
  <c r="AD69" i="15" s="1"/>
  <c r="AD27" i="15"/>
  <c r="AD73" i="15" s="1"/>
  <c r="AS22" i="15"/>
  <c r="AS68" i="15" s="1"/>
  <c r="AS23" i="15"/>
  <c r="AS69" i="15" s="1"/>
  <c r="AS24" i="15"/>
  <c r="AS70" i="15" s="1"/>
  <c r="AS27" i="15"/>
  <c r="AS73" i="15" s="1"/>
  <c r="AV21" i="15"/>
  <c r="AV67" i="15" s="1"/>
  <c r="AJ24" i="15"/>
  <c r="AJ70" i="15" s="1"/>
  <c r="AD22" i="15"/>
  <c r="AD68" i="15" s="1"/>
  <c r="AD21" i="15"/>
  <c r="AD67" i="15" s="1"/>
  <c r="AP22" i="15"/>
  <c r="AP68" i="15" s="1"/>
  <c r="AP23" i="15"/>
  <c r="AP69" i="15" s="1"/>
  <c r="AP24" i="15"/>
  <c r="AP70" i="15" s="1"/>
  <c r="AP27" i="15"/>
  <c r="AP73" i="15" s="1"/>
  <c r="AM21" i="15"/>
  <c r="AM67" i="15" s="1"/>
  <c r="AJ23" i="15"/>
  <c r="AJ69" i="15" s="1"/>
  <c r="AJ27" i="15"/>
  <c r="AJ73" i="15" s="1"/>
  <c r="AG24" i="15"/>
  <c r="AG70" i="15" s="1"/>
  <c r="AG26" i="15"/>
  <c r="AJ72" i="15" s="1"/>
  <c r="AG25" i="15"/>
  <c r="AJ71" i="15" s="1"/>
  <c r="AD26" i="15"/>
  <c r="AG72" i="15" s="1"/>
  <c r="AP25" i="15"/>
  <c r="AS71" i="15" s="1"/>
  <c r="AP26" i="15"/>
  <c r="AS72" i="15" s="1"/>
  <c r="AD25" i="15"/>
  <c r="AD24" i="15"/>
  <c r="AD70" i="15" s="1"/>
  <c r="AJ26" i="15"/>
  <c r="AM72" i="15" s="1"/>
  <c r="AM26" i="15"/>
  <c r="AP72" i="15" s="1"/>
  <c r="AM22" i="15"/>
  <c r="AM68" i="15" s="1"/>
  <c r="BM14" i="16"/>
  <c r="AO41" i="16"/>
  <c r="AO37" i="16"/>
  <c r="AO33" i="16"/>
  <c r="AO29" i="16"/>
  <c r="AO25" i="16"/>
  <c r="AO21" i="16"/>
  <c r="AO17" i="16"/>
  <c r="AO13" i="16"/>
  <c r="BA45" i="16"/>
  <c r="BB45" i="16" s="1"/>
  <c r="BC45" i="16" s="1"/>
  <c r="BA41" i="16"/>
  <c r="BA37" i="16"/>
  <c r="BA33" i="16"/>
  <c r="BA29" i="16"/>
  <c r="BA25" i="16"/>
  <c r="BA21" i="16"/>
  <c r="BA17" i="16"/>
  <c r="BA13" i="16"/>
  <c r="BA9" i="16"/>
  <c r="BG45" i="16"/>
  <c r="BH45" i="16" s="1"/>
  <c r="BI45" i="16" s="1"/>
  <c r="BG41" i="16"/>
  <c r="BG33" i="16"/>
  <c r="BG29" i="16"/>
  <c r="BG25" i="16"/>
  <c r="BG17" i="16"/>
  <c r="BG13" i="16"/>
  <c r="BG9" i="16"/>
  <c r="BM45" i="16"/>
  <c r="BN45" i="16" s="1"/>
  <c r="BO45" i="16" s="1"/>
  <c r="BM41" i="16"/>
  <c r="BM37" i="16"/>
  <c r="BM33" i="16"/>
  <c r="BM29" i="16"/>
  <c r="BM25" i="16"/>
  <c r="BM21" i="16"/>
  <c r="BM17" i="16"/>
  <c r="BM13" i="16"/>
  <c r="BM9" i="16"/>
  <c r="AC24" i="15"/>
  <c r="AC70" i="15" s="1"/>
  <c r="AF27" i="15"/>
  <c r="AF73" i="15" s="1"/>
  <c r="AF23" i="15"/>
  <c r="AF69" i="15" s="1"/>
  <c r="AE22" i="15"/>
  <c r="AE68" i="15" s="1"/>
  <c r="AI26" i="15"/>
  <c r="AL72" i="15" s="1"/>
  <c r="AH25" i="15"/>
  <c r="AI22" i="15"/>
  <c r="AI68" i="15" s="1"/>
  <c r="AQ21" i="15"/>
  <c r="AU21" i="15"/>
  <c r="AU67" i="15" s="1"/>
  <c r="AT27" i="15"/>
  <c r="AT73" i="15" s="1"/>
  <c r="AL27" i="15"/>
  <c r="AL73" i="15" s="1"/>
  <c r="AL26" i="15"/>
  <c r="AO72" i="15" s="1"/>
  <c r="AL25" i="15"/>
  <c r="AT24" i="15"/>
  <c r="AT70" i="15" s="1"/>
  <c r="AL24" i="15"/>
  <c r="AL70" i="15" s="1"/>
  <c r="AT23" i="15"/>
  <c r="AT69" i="15" s="1"/>
  <c r="AL23" i="15"/>
  <c r="AL69" i="15" s="1"/>
  <c r="AT22" i="15"/>
  <c r="AT68" i="15" s="1"/>
  <c r="AL22" i="15"/>
  <c r="AL68" i="15" s="1"/>
  <c r="BG36" i="16"/>
  <c r="BG32" i="16"/>
  <c r="BG28" i="16"/>
  <c r="BG24" i="16"/>
  <c r="BG20" i="16"/>
  <c r="BG16" i="16"/>
  <c r="BG12" i="16"/>
  <c r="BG8" i="16"/>
  <c r="BM42" i="16"/>
  <c r="BM38" i="16"/>
  <c r="BM34" i="16"/>
  <c r="BM26" i="16"/>
  <c r="BM22" i="16"/>
  <c r="BM18" i="16"/>
  <c r="BM10" i="16"/>
  <c r="BM6" i="16"/>
  <c r="AC21" i="15"/>
  <c r="AC67" i="15" s="1"/>
  <c r="AC25" i="15"/>
  <c r="AB24" i="15"/>
  <c r="AB70" i="15" s="1"/>
  <c r="AF21" i="15"/>
  <c r="AF67" i="15" s="1"/>
  <c r="AE27" i="15"/>
  <c r="AE73" i="15" s="1"/>
  <c r="AF24" i="15"/>
  <c r="AF70" i="15" s="1"/>
  <c r="AE23" i="15"/>
  <c r="AE69" i="15" s="1"/>
  <c r="AH21" i="15"/>
  <c r="AH67" i="15" s="1"/>
  <c r="AI27" i="15"/>
  <c r="AI73" i="15" s="1"/>
  <c r="AH26" i="15"/>
  <c r="AK72" i="15" s="1"/>
  <c r="AI23" i="15"/>
  <c r="AI69" i="15" s="1"/>
  <c r="AH22" i="15"/>
  <c r="AH68" i="15" s="1"/>
  <c r="AN21" i="15"/>
  <c r="AR21" i="15"/>
  <c r="AO27" i="15"/>
  <c r="AO73" i="15" s="1"/>
  <c r="AK27" i="15"/>
  <c r="AK73" i="15" s="1"/>
  <c r="AO26" i="15"/>
  <c r="AR72" i="15" s="1"/>
  <c r="AK26" i="15"/>
  <c r="AN72" i="15" s="1"/>
  <c r="AO25" i="15"/>
  <c r="AR71" i="15" s="1"/>
  <c r="AK25" i="15"/>
  <c r="AN71" i="15" s="1"/>
  <c r="AO24" i="15"/>
  <c r="AO70" i="15" s="1"/>
  <c r="AK24" i="15"/>
  <c r="AK70" i="15" s="1"/>
  <c r="AO23" i="15"/>
  <c r="AO69" i="15" s="1"/>
  <c r="AK23" i="15"/>
  <c r="AK69" i="15" s="1"/>
  <c r="AO22" i="15"/>
  <c r="AO68" i="15" s="1"/>
  <c r="AK22" i="15"/>
  <c r="AK68" i="15" s="1"/>
  <c r="AO43" i="16"/>
  <c r="AO39" i="16"/>
  <c r="AO35" i="16"/>
  <c r="AO31" i="16"/>
  <c r="AO27" i="16"/>
  <c r="AO23" i="16"/>
  <c r="AO19" i="16"/>
  <c r="AO15" i="16"/>
  <c r="BA43" i="16"/>
  <c r="BA39" i="16"/>
  <c r="BA35" i="16"/>
  <c r="BA31" i="16"/>
  <c r="BA27" i="16"/>
  <c r="BA23" i="16"/>
  <c r="BA19" i="16"/>
  <c r="BA15" i="16"/>
  <c r="BA11" i="16"/>
  <c r="BA7" i="16"/>
  <c r="BG43" i="16"/>
  <c r="BG39" i="16"/>
  <c r="BG35" i="16"/>
  <c r="BG31" i="16"/>
  <c r="BG27" i="16"/>
  <c r="BG23" i="16"/>
  <c r="BG19" i="16"/>
  <c r="BG15" i="16"/>
  <c r="BG11" i="16"/>
  <c r="BG7" i="16"/>
  <c r="BM43" i="16"/>
  <c r="BM39" i="16"/>
  <c r="BM35" i="16"/>
  <c r="BM31" i="16"/>
  <c r="BM27" i="16"/>
  <c r="BM23" i="16"/>
  <c r="BM19" i="16"/>
  <c r="BM15" i="16"/>
  <c r="BM11" i="16"/>
  <c r="BM7" i="16"/>
  <c r="AC26" i="15"/>
  <c r="AF72" i="15" s="1"/>
  <c r="AB25" i="15"/>
  <c r="AC22" i="15"/>
  <c r="AC68" i="15" s="1"/>
  <c r="AE24" i="15"/>
  <c r="AE70" i="15" s="1"/>
  <c r="AI21" i="15"/>
  <c r="AI67" i="15" s="1"/>
  <c r="AH27" i="15"/>
  <c r="AH73" i="15" s="1"/>
  <c r="AI24" i="15"/>
  <c r="AI70" i="15" s="1"/>
  <c r="AH23" i="15"/>
  <c r="AH69" i="15" s="1"/>
  <c r="AK21" i="15"/>
  <c r="AK67" i="15" s="1"/>
  <c r="AO21" i="15"/>
  <c r="AR27" i="15"/>
  <c r="AR73" i="15" s="1"/>
  <c r="AN27" i="15"/>
  <c r="AN73" i="15" s="1"/>
  <c r="AN26" i="15"/>
  <c r="AQ72" i="15" s="1"/>
  <c r="AR24" i="15"/>
  <c r="AR70" i="15" s="1"/>
  <c r="AN24" i="15"/>
  <c r="AN70" i="15" s="1"/>
  <c r="AR23" i="15"/>
  <c r="AR69" i="15" s="1"/>
  <c r="AN23" i="15"/>
  <c r="AN69" i="15" s="1"/>
  <c r="AW21" i="15"/>
  <c r="AW67" i="15" s="1"/>
  <c r="W66" i="17"/>
  <c r="X66" i="17" s="1"/>
  <c r="Y66" i="17" s="1"/>
  <c r="W63" i="17"/>
  <c r="X63" i="17" s="1"/>
  <c r="H33" i="18" s="1"/>
  <c r="W59" i="17"/>
  <c r="X59" i="17" s="1"/>
  <c r="H29" i="18" s="1"/>
  <c r="W65" i="17"/>
  <c r="X65" i="17" s="1"/>
  <c r="W61" i="17"/>
  <c r="X61" i="17" s="1"/>
  <c r="W62" i="17"/>
  <c r="X62" i="17" s="1"/>
  <c r="N45" i="16"/>
  <c r="O45" i="16" s="1"/>
  <c r="P45" i="16" s="1"/>
  <c r="AR45" i="16"/>
  <c r="AS45" i="16" s="1"/>
  <c r="AT45" i="16" s="1"/>
  <c r="AL44" i="16"/>
  <c r="AM44" i="16" s="1"/>
  <c r="AN44" i="16" s="1"/>
  <c r="AF34" i="16"/>
  <c r="AF27" i="16"/>
  <c r="AR14" i="16"/>
  <c r="AF31" i="16"/>
  <c r="AF38" i="16"/>
  <c r="AL25" i="16"/>
  <c r="AF45" i="16"/>
  <c r="AG45" i="16" s="1"/>
  <c r="AH45" i="16" s="1"/>
  <c r="AF23" i="16"/>
  <c r="AF19" i="16"/>
  <c r="AF15" i="16"/>
  <c r="AL41" i="16"/>
  <c r="AL34" i="16"/>
  <c r="AL31" i="16"/>
  <c r="AL22" i="16"/>
  <c r="AL15" i="16"/>
  <c r="AR42" i="16"/>
  <c r="AR36" i="16"/>
  <c r="AR26" i="16"/>
  <c r="AR15" i="16"/>
  <c r="AL28" i="16"/>
  <c r="AF42" i="16"/>
  <c r="BJ45" i="16"/>
  <c r="BK45" i="16" s="1"/>
  <c r="BL45" i="16" s="1"/>
  <c r="AL43" i="16"/>
  <c r="AL40" i="16"/>
  <c r="AL36" i="16"/>
  <c r="AL30" i="16"/>
  <c r="AL27" i="16"/>
  <c r="AL24" i="16"/>
  <c r="AL18" i="16"/>
  <c r="AL14" i="16"/>
  <c r="AL12" i="16"/>
  <c r="AR39" i="16"/>
  <c r="AR44" i="16"/>
  <c r="AR40" i="16"/>
  <c r="AR34" i="16"/>
  <c r="AR30" i="16"/>
  <c r="AR27" i="16"/>
  <c r="AR21" i="16"/>
  <c r="AR19" i="16"/>
  <c r="AR16" i="16"/>
  <c r="AR12" i="16"/>
  <c r="AF43" i="16"/>
  <c r="AF39" i="16"/>
  <c r="AF35" i="16"/>
  <c r="AF32" i="16"/>
  <c r="AF28" i="16"/>
  <c r="AF24" i="16"/>
  <c r="AF20" i="16"/>
  <c r="AF16" i="16"/>
  <c r="AF12" i="16"/>
  <c r="AR17" i="16"/>
  <c r="AR20" i="16"/>
  <c r="AR23" i="16"/>
  <c r="AR25" i="16"/>
  <c r="AR29" i="16"/>
  <c r="AR32" i="16"/>
  <c r="AR41" i="16"/>
  <c r="AR13" i="16"/>
  <c r="AR22" i="16"/>
  <c r="AR24" i="16"/>
  <c r="AR28" i="16"/>
  <c r="AR35" i="16"/>
  <c r="AR37" i="16"/>
  <c r="AR38" i="16"/>
  <c r="AR43" i="16"/>
  <c r="AR18" i="16"/>
  <c r="AR33" i="16"/>
  <c r="AL13" i="16"/>
  <c r="AL16" i="16"/>
  <c r="AL19" i="16"/>
  <c r="AL26" i="16"/>
  <c r="AL29" i="16"/>
  <c r="AL32" i="16"/>
  <c r="AL35" i="16"/>
  <c r="AL38" i="16"/>
  <c r="AL17" i="16"/>
  <c r="AL20" i="16"/>
  <c r="AL23" i="16"/>
  <c r="AL33" i="16"/>
  <c r="AL39" i="16"/>
  <c r="AL42" i="16"/>
  <c r="AL21" i="16"/>
  <c r="AL37" i="16"/>
  <c r="AF14" i="16"/>
  <c r="AF18" i="16"/>
  <c r="AF22" i="16"/>
  <c r="AF26" i="16"/>
  <c r="AF30" i="16"/>
  <c r="AF33" i="16"/>
  <c r="AF37" i="16"/>
  <c r="AF41" i="16"/>
  <c r="AF13" i="16"/>
  <c r="AF17" i="16"/>
  <c r="AF21" i="16"/>
  <c r="AF25" i="16"/>
  <c r="AF29" i="16"/>
  <c r="AF36" i="16"/>
  <c r="AF40" i="16"/>
  <c r="AF44" i="16"/>
  <c r="H44" i="16"/>
  <c r="Z43" i="16"/>
  <c r="Z35" i="16"/>
  <c r="BJ27" i="16"/>
  <c r="Z44" i="16"/>
  <c r="T45" i="16"/>
  <c r="N44" i="16"/>
  <c r="H43" i="16"/>
  <c r="T41" i="16"/>
  <c r="N39" i="16"/>
  <c r="H35" i="16"/>
  <c r="T33" i="16"/>
  <c r="H27" i="16"/>
  <c r="T25" i="16"/>
  <c r="H19" i="16"/>
  <c r="T17" i="16"/>
  <c r="AX45" i="16"/>
  <c r="BD22" i="16"/>
  <c r="BJ44" i="16"/>
  <c r="BH110" i="15"/>
  <c r="H39" i="16"/>
  <c r="Z34" i="16"/>
  <c r="Z30" i="16"/>
  <c r="Z26" i="16"/>
  <c r="Z22" i="16"/>
  <c r="N20" i="16"/>
  <c r="AR31" i="16"/>
  <c r="AX37" i="16"/>
  <c r="AY37" i="16" s="1"/>
  <c r="AX29" i="16"/>
  <c r="AY29" i="16" s="1"/>
  <c r="AX21" i="16"/>
  <c r="AY21" i="16" s="1"/>
  <c r="BD38" i="16"/>
  <c r="BD26" i="16"/>
  <c r="BD18" i="16"/>
  <c r="BJ36" i="16"/>
  <c r="BJ28" i="16"/>
  <c r="BJ20" i="16"/>
  <c r="BJ8" i="16"/>
  <c r="BP42" i="16"/>
  <c r="BP34" i="16"/>
  <c r="BP30" i="16"/>
  <c r="BP26" i="16"/>
  <c r="BP22" i="16"/>
  <c r="BP18" i="16"/>
  <c r="BP14" i="16"/>
  <c r="BP10" i="16"/>
  <c r="BP6" i="16"/>
  <c r="AX19" i="16"/>
  <c r="AY19" i="16" s="1"/>
  <c r="Z42" i="16"/>
  <c r="N40" i="16"/>
  <c r="Z38" i="16"/>
  <c r="Z36" i="16"/>
  <c r="T37" i="16"/>
  <c r="N36" i="16"/>
  <c r="N32" i="16"/>
  <c r="H31" i="16"/>
  <c r="T29" i="16"/>
  <c r="N28" i="16"/>
  <c r="N24" i="16"/>
  <c r="H23" i="16"/>
  <c r="T21" i="16"/>
  <c r="Z18" i="16"/>
  <c r="AX41" i="16"/>
  <c r="AY41" i="16" s="1"/>
  <c r="AX33" i="16"/>
  <c r="AY33" i="16" s="1"/>
  <c r="AX25" i="16"/>
  <c r="AY25" i="16" s="1"/>
  <c r="AX17" i="16"/>
  <c r="AY17" i="16" s="1"/>
  <c r="AX13" i="16"/>
  <c r="AY13" i="16" s="1"/>
  <c r="BD42" i="16"/>
  <c r="BD34" i="16"/>
  <c r="BD30" i="16"/>
  <c r="BD14" i="16"/>
  <c r="BD10" i="16"/>
  <c r="BD6" i="16"/>
  <c r="BJ40" i="16"/>
  <c r="BJ32" i="16"/>
  <c r="BJ24" i="16"/>
  <c r="BJ16" i="16"/>
  <c r="BJ12" i="16"/>
  <c r="BP38" i="16"/>
  <c r="N43" i="16"/>
  <c r="N35" i="16"/>
  <c r="N27" i="16"/>
  <c r="N19" i="16"/>
  <c r="BD31" i="16"/>
  <c r="N31" i="16"/>
  <c r="BD39" i="16"/>
  <c r="Z40" i="16"/>
  <c r="Z20" i="16"/>
  <c r="AX43" i="16"/>
  <c r="AY43" i="16" s="1"/>
  <c r="AX27" i="16"/>
  <c r="AY27" i="16" s="1"/>
  <c r="BD12" i="16"/>
  <c r="BG110" i="15"/>
  <c r="N23" i="16"/>
  <c r="Z24" i="16"/>
  <c r="T42" i="16"/>
  <c r="N41" i="16"/>
  <c r="H40" i="16"/>
  <c r="Z39" i="16"/>
  <c r="T38" i="16"/>
  <c r="N37" i="16"/>
  <c r="H36" i="16"/>
  <c r="T34" i="16"/>
  <c r="N33" i="16"/>
  <c r="H32" i="16"/>
  <c r="Z31" i="16"/>
  <c r="T30" i="16"/>
  <c r="N29" i="16"/>
  <c r="H28" i="16"/>
  <c r="Z27" i="16"/>
  <c r="T26" i="16"/>
  <c r="N25" i="16"/>
  <c r="H24" i="16"/>
  <c r="Z23" i="16"/>
  <c r="T22" i="16"/>
  <c r="N21" i="16"/>
  <c r="H20" i="16"/>
  <c r="Z19" i="16"/>
  <c r="T18" i="16"/>
  <c r="N17" i="16"/>
  <c r="AX44" i="16"/>
  <c r="AY44" i="16" s="1"/>
  <c r="AX40" i="16"/>
  <c r="AY40" i="16" s="1"/>
  <c r="AX36" i="16"/>
  <c r="AY36" i="16" s="1"/>
  <c r="AX32" i="16"/>
  <c r="AY32" i="16" s="1"/>
  <c r="AX28" i="16"/>
  <c r="AY28" i="16" s="1"/>
  <c r="AX24" i="16"/>
  <c r="AY24" i="16" s="1"/>
  <c r="AX20" i="16"/>
  <c r="AY20" i="16" s="1"/>
  <c r="AX16" i="16"/>
  <c r="AY16" i="16" s="1"/>
  <c r="AX12" i="16"/>
  <c r="AY12" i="16" s="1"/>
  <c r="BD45" i="16"/>
  <c r="BE45" i="16" s="1"/>
  <c r="BF45" i="16" s="1"/>
  <c r="BD41" i="16"/>
  <c r="BD40" i="16"/>
  <c r="BD37" i="16"/>
  <c r="BD33" i="16"/>
  <c r="BD32" i="16"/>
  <c r="BD29" i="16"/>
  <c r="BD25" i="16"/>
  <c r="BD24" i="16"/>
  <c r="BD21" i="16"/>
  <c r="BD17" i="16"/>
  <c r="BD13" i="16"/>
  <c r="BD9" i="16"/>
  <c r="BJ43" i="16"/>
  <c r="BJ39" i="16"/>
  <c r="BJ35" i="16"/>
  <c r="BJ31" i="16"/>
  <c r="BJ23" i="16"/>
  <c r="BJ19" i="16"/>
  <c r="BJ15" i="16"/>
  <c r="BJ11" i="16"/>
  <c r="BJ7" i="16"/>
  <c r="BP45" i="16"/>
  <c r="BQ45" i="16" s="1"/>
  <c r="BR45" i="16" s="1"/>
  <c r="BP41" i="16"/>
  <c r="BP37" i="16"/>
  <c r="BP33" i="16"/>
  <c r="BP29" i="16"/>
  <c r="BP25" i="16"/>
  <c r="BP21" i="16"/>
  <c r="BP17" i="16"/>
  <c r="BP13" i="16"/>
  <c r="AX35" i="16"/>
  <c r="AY35" i="16" s="1"/>
  <c r="BP9" i="16"/>
  <c r="Z41" i="16"/>
  <c r="T40" i="16"/>
  <c r="H38" i="16"/>
  <c r="Z33" i="16"/>
  <c r="T32" i="16"/>
  <c r="H30" i="16"/>
  <c r="Z25" i="16"/>
  <c r="T24" i="16"/>
  <c r="Z21" i="16"/>
  <c r="T20" i="16"/>
  <c r="H18" i="16"/>
  <c r="AX42" i="16"/>
  <c r="AY42" i="16" s="1"/>
  <c r="AX38" i="16"/>
  <c r="AY38" i="16" s="1"/>
  <c r="AX34" i="16"/>
  <c r="AY34" i="16" s="1"/>
  <c r="AX30" i="16"/>
  <c r="AY30" i="16" s="1"/>
  <c r="AX26" i="16"/>
  <c r="AY26" i="16" s="1"/>
  <c r="AX22" i="16"/>
  <c r="AY22" i="16" s="1"/>
  <c r="AX18" i="16"/>
  <c r="AY18" i="16" s="1"/>
  <c r="AX14" i="16"/>
  <c r="AY14" i="16" s="1"/>
  <c r="BD43" i="16"/>
  <c r="BD35" i="16"/>
  <c r="BD27" i="16"/>
  <c r="BD23" i="16"/>
  <c r="BD19" i="16"/>
  <c r="BD15" i="16"/>
  <c r="BD11" i="16"/>
  <c r="BD7" i="16"/>
  <c r="BJ41" i="16"/>
  <c r="BJ37" i="16"/>
  <c r="BJ33" i="16"/>
  <c r="BJ29" i="16"/>
  <c r="BJ25" i="16"/>
  <c r="BJ21" i="16"/>
  <c r="BJ17" i="16"/>
  <c r="BJ13" i="16"/>
  <c r="BJ9" i="16"/>
  <c r="BP5" i="16"/>
  <c r="B84" i="17" s="1"/>
  <c r="BP43" i="16"/>
  <c r="BP39" i="16"/>
  <c r="BP35" i="16"/>
  <c r="BP31" i="16"/>
  <c r="BP27" i="16"/>
  <c r="BP23" i="16"/>
  <c r="BP19" i="16"/>
  <c r="BP15" i="16"/>
  <c r="BP11" i="16"/>
  <c r="BP7" i="16"/>
  <c r="BF110" i="15"/>
  <c r="Z45" i="16"/>
  <c r="T44" i="16"/>
  <c r="H42" i="16"/>
  <c r="Z37" i="16"/>
  <c r="T36" i="16"/>
  <c r="H34" i="16"/>
  <c r="Z29" i="16"/>
  <c r="T28" i="16"/>
  <c r="H26" i="16"/>
  <c r="H22" i="16"/>
  <c r="Z17" i="16"/>
  <c r="X45" i="16"/>
  <c r="Y45" i="16" s="1"/>
  <c r="H45" i="16"/>
  <c r="T43" i="16"/>
  <c r="N42" i="16"/>
  <c r="H41" i="16"/>
  <c r="T39" i="16"/>
  <c r="N38" i="16"/>
  <c r="H37" i="16"/>
  <c r="T35" i="16"/>
  <c r="N34" i="16"/>
  <c r="H33" i="16"/>
  <c r="Z32" i="16"/>
  <c r="T31" i="16"/>
  <c r="N30" i="16"/>
  <c r="H29" i="16"/>
  <c r="Z28" i="16"/>
  <c r="T27" i="16"/>
  <c r="N26" i="16"/>
  <c r="H25" i="16"/>
  <c r="T23" i="16"/>
  <c r="N22" i="16"/>
  <c r="H21" i="16"/>
  <c r="T19" i="16"/>
  <c r="N18" i="16"/>
  <c r="H17" i="16"/>
  <c r="AX39" i="16"/>
  <c r="AY39" i="16" s="1"/>
  <c r="AX31" i="16"/>
  <c r="AY31" i="16" s="1"/>
  <c r="AX23" i="16"/>
  <c r="AY23" i="16" s="1"/>
  <c r="AX15" i="16"/>
  <c r="AY15" i="16" s="1"/>
  <c r="BD44" i="16"/>
  <c r="BD36" i="16"/>
  <c r="BD28" i="16"/>
  <c r="BD20" i="16"/>
  <c r="BD16" i="16"/>
  <c r="BD8" i="16"/>
  <c r="BJ42" i="16"/>
  <c r="BJ38" i="16"/>
  <c r="BJ34" i="16"/>
  <c r="BJ30" i="16"/>
  <c r="BJ26" i="16"/>
  <c r="BJ22" i="16"/>
  <c r="BJ18" i="16"/>
  <c r="BJ14" i="16"/>
  <c r="BJ10" i="16"/>
  <c r="BJ6" i="16"/>
  <c r="BP44" i="16"/>
  <c r="BP40" i="16"/>
  <c r="BP36" i="16"/>
  <c r="BP32" i="16"/>
  <c r="BP28" i="16"/>
  <c r="BP24" i="16"/>
  <c r="BP20" i="16"/>
  <c r="BP16" i="16"/>
  <c r="BP12" i="16"/>
  <c r="BP8" i="16"/>
  <c r="Z16" i="16"/>
  <c r="T16" i="16"/>
  <c r="N15" i="16"/>
  <c r="N16" i="16"/>
  <c r="H14" i="16"/>
  <c r="H16" i="16"/>
  <c r="AD45" i="16"/>
  <c r="AE45" i="16" s="1"/>
  <c r="AM45" i="16"/>
  <c r="AN45" i="16" s="1"/>
  <c r="A1" i="8"/>
  <c r="C10" i="13"/>
  <c r="C11" i="13"/>
  <c r="C12" i="13"/>
  <c r="C13" i="13"/>
  <c r="C14" i="13"/>
  <c r="C15" i="13"/>
  <c r="C16" i="13"/>
  <c r="C17" i="13"/>
  <c r="C18" i="13"/>
  <c r="C9" i="13"/>
  <c r="G66" i="8"/>
  <c r="H66" i="8" s="1"/>
  <c r="H65" i="8"/>
  <c r="H64" i="8"/>
  <c r="H63" i="8"/>
  <c r="H62" i="8"/>
  <c r="H61" i="8"/>
  <c r="H60" i="8"/>
  <c r="H59" i="8"/>
  <c r="H58" i="8"/>
  <c r="H55" i="8"/>
  <c r="H54" i="8"/>
  <c r="H53" i="8"/>
  <c r="H52" i="8"/>
  <c r="H51" i="8"/>
  <c r="H50" i="8"/>
  <c r="H49" i="8"/>
  <c r="H48" i="8"/>
  <c r="G47" i="8"/>
  <c r="H47" i="8" s="1"/>
  <c r="H46" i="8"/>
  <c r="H43" i="8"/>
  <c r="H42" i="8"/>
  <c r="H41" i="8"/>
  <c r="H40" i="8"/>
  <c r="H39" i="8"/>
  <c r="AR67" i="15" l="1"/>
  <c r="BD67" i="15"/>
  <c r="AF71" i="15"/>
  <c r="AC71" i="15"/>
  <c r="AO71" i="15"/>
  <c r="AH71" i="15"/>
  <c r="AN67" i="15"/>
  <c r="AZ67" i="15"/>
  <c r="AQ67" i="15"/>
  <c r="BC67" i="15"/>
  <c r="AS67" i="15"/>
  <c r="BE67" i="15"/>
  <c r="BE110" i="15" s="1"/>
  <c r="AL71" i="15"/>
  <c r="AP67" i="15"/>
  <c r="BB67" i="15"/>
  <c r="BB110" i="15" s="1"/>
  <c r="AP71" i="15"/>
  <c r="AO67" i="15"/>
  <c r="BA67" i="15"/>
  <c r="AE71" i="15"/>
  <c r="AB71" i="15"/>
  <c r="AK71" i="15"/>
  <c r="AG71" i="15"/>
  <c r="AD71" i="15"/>
  <c r="AI71" i="15"/>
  <c r="L44" i="16"/>
  <c r="M44" i="16" s="1"/>
  <c r="AD43" i="16"/>
  <c r="AE43" i="16" s="1"/>
  <c r="AX10" i="16"/>
  <c r="AY10" i="16" s="1"/>
  <c r="AX7" i="16"/>
  <c r="AY7" i="16" s="1"/>
  <c r="AZ7" i="16" s="1"/>
  <c r="Y62" i="17"/>
  <c r="H32" i="18"/>
  <c r="Y61" i="17"/>
  <c r="H31" i="18"/>
  <c r="I33" i="18"/>
  <c r="G33" i="18"/>
  <c r="Y64" i="17"/>
  <c r="H34" i="18"/>
  <c r="I29" i="18"/>
  <c r="G29" i="18"/>
  <c r="I30" i="18"/>
  <c r="G30" i="18"/>
  <c r="Y65" i="17"/>
  <c r="H35" i="18"/>
  <c r="AY110" i="15"/>
  <c r="AX5" i="16"/>
  <c r="AY5" i="16" s="1"/>
  <c r="AZ5" i="16" s="1"/>
  <c r="I44" i="16"/>
  <c r="J44" i="16" s="1"/>
  <c r="AX8" i="16"/>
  <c r="AY8" i="16" s="1"/>
  <c r="AZ8" i="16" s="1"/>
  <c r="AX6" i="16"/>
  <c r="AY6" i="16" s="1"/>
  <c r="AZ6" i="16" s="1"/>
  <c r="AX110" i="15"/>
  <c r="AX9" i="16"/>
  <c r="AY9" i="16" s="1"/>
  <c r="AZ9" i="16" s="1"/>
  <c r="AW110" i="15"/>
  <c r="BK44" i="16"/>
  <c r="BL44" i="16" s="1"/>
  <c r="AG44" i="16"/>
  <c r="AH44" i="16" s="1"/>
  <c r="AY45" i="16"/>
  <c r="AZ45" i="16" s="1"/>
  <c r="Y59" i="17"/>
  <c r="Y63" i="17"/>
  <c r="Y60" i="17"/>
  <c r="AD44" i="16"/>
  <c r="AE44" i="16" s="1"/>
  <c r="O43" i="16"/>
  <c r="P43" i="16" s="1"/>
  <c r="O44" i="16"/>
  <c r="P44" i="16" s="1"/>
  <c r="AJ44" i="16"/>
  <c r="AK44" i="16" s="1"/>
  <c r="AM43" i="16"/>
  <c r="AN43" i="16" s="1"/>
  <c r="AS41" i="16"/>
  <c r="AT41" i="16" s="1"/>
  <c r="AS44" i="16"/>
  <c r="AT44" i="16" s="1"/>
  <c r="AS32" i="16"/>
  <c r="AT32" i="16" s="1"/>
  <c r="AP44" i="16"/>
  <c r="AQ44" i="16" s="1"/>
  <c r="AG43" i="16"/>
  <c r="AH43" i="16" s="1"/>
  <c r="AG41" i="16"/>
  <c r="AH41" i="16" s="1"/>
  <c r="AP43" i="16"/>
  <c r="AQ43" i="16" s="1"/>
  <c r="AD39" i="16"/>
  <c r="AE39" i="16" s="1"/>
  <c r="F44" i="16"/>
  <c r="G44" i="16" s="1"/>
  <c r="AG26" i="16"/>
  <c r="AH26" i="16" s="1"/>
  <c r="AG12" i="16"/>
  <c r="AH12" i="16" s="1"/>
  <c r="AJ19" i="16"/>
  <c r="AK19" i="16" s="1"/>
  <c r="AS42" i="16"/>
  <c r="AT42" i="16" s="1"/>
  <c r="AS43" i="16"/>
  <c r="AT43" i="16" s="1"/>
  <c r="AG38" i="16"/>
  <c r="AH38" i="16" s="1"/>
  <c r="BK34" i="16"/>
  <c r="BL34" i="16" s="1"/>
  <c r="BK42" i="16"/>
  <c r="BL42" i="16" s="1"/>
  <c r="BB39" i="16"/>
  <c r="BC39" i="16" s="1"/>
  <c r="L20" i="16"/>
  <c r="M20" i="16" s="1"/>
  <c r="F42" i="16"/>
  <c r="G42" i="16" s="1"/>
  <c r="R44" i="16"/>
  <c r="S44" i="16" s="1"/>
  <c r="AS31" i="16"/>
  <c r="AT31" i="16" s="1"/>
  <c r="AG34" i="16"/>
  <c r="AH34" i="16" s="1"/>
  <c r="AJ39" i="16"/>
  <c r="AK39" i="16" s="1"/>
  <c r="AP16" i="16"/>
  <c r="AQ16" i="16" s="1"/>
  <c r="AD38" i="16"/>
  <c r="AE38" i="16" s="1"/>
  <c r="AS17" i="16"/>
  <c r="AT17" i="16" s="1"/>
  <c r="AP21" i="16"/>
  <c r="AQ21" i="16" s="1"/>
  <c r="AP39" i="16"/>
  <c r="AQ39" i="16" s="1"/>
  <c r="AM24" i="16"/>
  <c r="AN24" i="16" s="1"/>
  <c r="AM35" i="16"/>
  <c r="AN35" i="16" s="1"/>
  <c r="AP29" i="16"/>
  <c r="AQ29" i="16" s="1"/>
  <c r="AM28" i="16"/>
  <c r="AN28" i="16" s="1"/>
  <c r="AD37" i="16"/>
  <c r="AE37" i="16" s="1"/>
  <c r="F36" i="16"/>
  <c r="G36" i="16" s="1"/>
  <c r="I43" i="16"/>
  <c r="J43" i="16" s="1"/>
  <c r="AJ12" i="16"/>
  <c r="AK12" i="16" s="1"/>
  <c r="AP28" i="16"/>
  <c r="AQ28" i="16" s="1"/>
  <c r="AG15" i="16"/>
  <c r="AH15" i="16" s="1"/>
  <c r="AJ37" i="16"/>
  <c r="AK37" i="16" s="1"/>
  <c r="AD41" i="16"/>
  <c r="AE41" i="16" s="1"/>
  <c r="AM31" i="16"/>
  <c r="AN31" i="16" s="1"/>
  <c r="X44" i="16"/>
  <c r="Y44" i="16" s="1"/>
  <c r="AP40" i="16"/>
  <c r="AQ40" i="16" s="1"/>
  <c r="AG16" i="16"/>
  <c r="AH16" i="16" s="1"/>
  <c r="BQ44" i="16"/>
  <c r="BR44" i="16" s="1"/>
  <c r="BE44" i="16"/>
  <c r="BF44" i="16" s="1"/>
  <c r="BK43" i="16"/>
  <c r="BL43" i="16" s="1"/>
  <c r="AG33" i="16"/>
  <c r="AH33" i="16" s="1"/>
  <c r="AG18" i="16"/>
  <c r="AH18" i="16" s="1"/>
  <c r="AS19" i="16"/>
  <c r="AT19" i="16" s="1"/>
  <c r="AG30" i="16"/>
  <c r="AH30" i="16" s="1"/>
  <c r="AP42" i="16"/>
  <c r="AQ42" i="16" s="1"/>
  <c r="AG24" i="16"/>
  <c r="AH24" i="16" s="1"/>
  <c r="I45" i="16"/>
  <c r="J45" i="16" s="1"/>
  <c r="AP41" i="16"/>
  <c r="AQ41" i="16" s="1"/>
  <c r="AS20" i="16"/>
  <c r="AT20" i="16" s="1"/>
  <c r="AP14" i="16"/>
  <c r="AQ14" i="16" s="1"/>
  <c r="BH41" i="16"/>
  <c r="BI41" i="16" s="1"/>
  <c r="BE36" i="16"/>
  <c r="BF36" i="16" s="1"/>
  <c r="I40" i="16"/>
  <c r="J40" i="16" s="1"/>
  <c r="F19" i="16"/>
  <c r="G19" i="16" s="1"/>
  <c r="F31" i="16"/>
  <c r="G31" i="16" s="1"/>
  <c r="AZ40" i="16"/>
  <c r="F37" i="16"/>
  <c r="G37" i="16" s="1"/>
  <c r="F21" i="16"/>
  <c r="G21" i="16" s="1"/>
  <c r="L43" i="16"/>
  <c r="M43" i="16" s="1"/>
  <c r="AG14" i="16"/>
  <c r="AH14" i="16" s="1"/>
  <c r="AG37" i="16"/>
  <c r="AH37" i="16" s="1"/>
  <c r="AG22" i="16"/>
  <c r="AH22" i="16" s="1"/>
  <c r="AM40" i="16"/>
  <c r="AN40" i="16" s="1"/>
  <c r="AM38" i="16"/>
  <c r="AN38" i="16" s="1"/>
  <c r="AJ21" i="16"/>
  <c r="AK21" i="16" s="1"/>
  <c r="AM15" i="16"/>
  <c r="AN15" i="16" s="1"/>
  <c r="AS33" i="16"/>
  <c r="AT33" i="16" s="1"/>
  <c r="AS38" i="16"/>
  <c r="AT38" i="16" s="1"/>
  <c r="AP26" i="16"/>
  <c r="AQ26" i="16" s="1"/>
  <c r="AP34" i="16"/>
  <c r="AQ34" i="16" s="1"/>
  <c r="AG27" i="16"/>
  <c r="AH27" i="16" s="1"/>
  <c r="AS30" i="16"/>
  <c r="AT30" i="16" s="1"/>
  <c r="AS40" i="16"/>
  <c r="AT40" i="16" s="1"/>
  <c r="AS39" i="16"/>
  <c r="AT39" i="16" s="1"/>
  <c r="AJ16" i="16"/>
  <c r="AK16" i="16" s="1"/>
  <c r="AJ25" i="16"/>
  <c r="AK25" i="16" s="1"/>
  <c r="AJ32" i="16"/>
  <c r="AK32" i="16" s="1"/>
  <c r="AJ41" i="16"/>
  <c r="AK41" i="16" s="1"/>
  <c r="AG42" i="16"/>
  <c r="AH42" i="16" s="1"/>
  <c r="AS14" i="16"/>
  <c r="AT14" i="16" s="1"/>
  <c r="AP12" i="16"/>
  <c r="AQ12" i="16" s="1"/>
  <c r="AP13" i="16"/>
  <c r="AQ13" i="16" s="1"/>
  <c r="AM39" i="16"/>
  <c r="AN39" i="16" s="1"/>
  <c r="AS37" i="16"/>
  <c r="AT37" i="16" s="1"/>
  <c r="AG35" i="16"/>
  <c r="AH35" i="16" s="1"/>
  <c r="AG31" i="16"/>
  <c r="AH31" i="16" s="1"/>
  <c r="AG28" i="16"/>
  <c r="AH28" i="16" s="1"/>
  <c r="AG19" i="16"/>
  <c r="AH19" i="16" s="1"/>
  <c r="AP15" i="16"/>
  <c r="AQ15" i="16" s="1"/>
  <c r="AD34" i="16"/>
  <c r="AE34" i="16" s="1"/>
  <c r="AM41" i="16"/>
  <c r="AN41" i="16" s="1"/>
  <c r="I41" i="16"/>
  <c r="J41" i="16" s="1"/>
  <c r="AG40" i="16"/>
  <c r="AH40" i="16" s="1"/>
  <c r="AG36" i="16"/>
  <c r="AH36" i="16" s="1"/>
  <c r="AG32" i="16"/>
  <c r="AH32" i="16" s="1"/>
  <c r="F29" i="16"/>
  <c r="G29" i="16" s="1"/>
  <c r="AP27" i="16"/>
  <c r="AQ27" i="16" s="1"/>
  <c r="AG25" i="16"/>
  <c r="AH25" i="16" s="1"/>
  <c r="AS22" i="16"/>
  <c r="AT22" i="16" s="1"/>
  <c r="AG21" i="16"/>
  <c r="AH21" i="16" s="1"/>
  <c r="AG13" i="16"/>
  <c r="AH13" i="16" s="1"/>
  <c r="BB43" i="16"/>
  <c r="BC43" i="16" s="1"/>
  <c r="BH43" i="16"/>
  <c r="BI43" i="16" s="1"/>
  <c r="AS27" i="16"/>
  <c r="AT27" i="16" s="1"/>
  <c r="AM42" i="16"/>
  <c r="AN42" i="16" s="1"/>
  <c r="AP38" i="16"/>
  <c r="AQ38" i="16" s="1"/>
  <c r="AG29" i="16"/>
  <c r="AH29" i="16" s="1"/>
  <c r="AG23" i="16"/>
  <c r="AH23" i="16" s="1"/>
  <c r="AG20" i="16"/>
  <c r="AH20" i="16" s="1"/>
  <c r="AG17" i="16"/>
  <c r="AH17" i="16" s="1"/>
  <c r="AD42" i="16"/>
  <c r="AE42" i="16" s="1"/>
  <c r="AG39" i="16"/>
  <c r="AH39" i="16" s="1"/>
  <c r="X31" i="16"/>
  <c r="Y31" i="16" s="1"/>
  <c r="L40" i="16"/>
  <c r="M40" i="16" s="1"/>
  <c r="AA44" i="16"/>
  <c r="AB44" i="16" s="1"/>
  <c r="U33" i="16"/>
  <c r="V33" i="16" s="1"/>
  <c r="X40" i="16"/>
  <c r="Y40" i="16" s="1"/>
  <c r="AA39" i="16"/>
  <c r="AB39" i="16" s="1"/>
  <c r="BB44" i="16"/>
  <c r="BC44" i="16" s="1"/>
  <c r="O36" i="16"/>
  <c r="P36" i="16" s="1"/>
  <c r="L35" i="16"/>
  <c r="M35" i="16" s="1"/>
  <c r="R37" i="16"/>
  <c r="S37" i="16" s="1"/>
  <c r="R41" i="16"/>
  <c r="S41" i="16" s="1"/>
  <c r="X42" i="16"/>
  <c r="Y42" i="16" s="1"/>
  <c r="U44" i="16"/>
  <c r="V44" i="16" s="1"/>
  <c r="AM37" i="16"/>
  <c r="AN37" i="16" s="1"/>
  <c r="AJ40" i="16"/>
  <c r="AK40" i="16" s="1"/>
  <c r="AM32" i="16"/>
  <c r="AN32" i="16" s="1"/>
  <c r="AJ18" i="16"/>
  <c r="AK18" i="16" s="1"/>
  <c r="AJ36" i="16"/>
  <c r="AK36" i="16" s="1"/>
  <c r="AJ22" i="16"/>
  <c r="AK22" i="16" s="1"/>
  <c r="AM12" i="16"/>
  <c r="AN12" i="16" s="1"/>
  <c r="AJ13" i="16"/>
  <c r="AK13" i="16" s="1"/>
  <c r="AZ16" i="16"/>
  <c r="AZ32" i="16"/>
  <c r="AZ36" i="16"/>
  <c r="AP37" i="16"/>
  <c r="AQ37" i="16" s="1"/>
  <c r="AP32" i="16"/>
  <c r="AQ32" i="16" s="1"/>
  <c r="AP31" i="16"/>
  <c r="AQ31" i="16" s="1"/>
  <c r="AP30" i="16"/>
  <c r="AQ30" i="16" s="1"/>
  <c r="AS25" i="16"/>
  <c r="AT25" i="16" s="1"/>
  <c r="AS24" i="16"/>
  <c r="AT24" i="16" s="1"/>
  <c r="AS23" i="16"/>
  <c r="AT23" i="16" s="1"/>
  <c r="AP22" i="16"/>
  <c r="AQ22" i="16" s="1"/>
  <c r="AP20" i="16"/>
  <c r="AQ20" i="16" s="1"/>
  <c r="AP19" i="16"/>
  <c r="AQ19" i="16" s="1"/>
  <c r="AS18" i="16"/>
  <c r="AT18" i="16" s="1"/>
  <c r="AP17" i="16"/>
  <c r="AQ17" i="16" s="1"/>
  <c r="AS12" i="16"/>
  <c r="AT12" i="16" s="1"/>
  <c r="AS36" i="16"/>
  <c r="AT36" i="16" s="1"/>
  <c r="AS35" i="16"/>
  <c r="AT35" i="16" s="1"/>
  <c r="AS34" i="16"/>
  <c r="AT34" i="16" s="1"/>
  <c r="AP33" i="16"/>
  <c r="AQ33" i="16" s="1"/>
  <c r="AS26" i="16"/>
  <c r="AT26" i="16" s="1"/>
  <c r="AP25" i="16"/>
  <c r="AQ25" i="16" s="1"/>
  <c r="AP24" i="16"/>
  <c r="AQ24" i="16" s="1"/>
  <c r="AP23" i="16"/>
  <c r="AQ23" i="16" s="1"/>
  <c r="AP18" i="16"/>
  <c r="AQ18" i="16" s="1"/>
  <c r="AS13" i="16"/>
  <c r="AT13" i="16" s="1"/>
  <c r="AP36" i="16"/>
  <c r="AQ36" i="16" s="1"/>
  <c r="AP35" i="16"/>
  <c r="AQ35" i="16" s="1"/>
  <c r="AS29" i="16"/>
  <c r="AT29" i="16" s="1"/>
  <c r="AS28" i="16"/>
  <c r="AT28" i="16" s="1"/>
  <c r="AS21" i="16"/>
  <c r="AT21" i="16" s="1"/>
  <c r="AS16" i="16"/>
  <c r="AT16" i="16" s="1"/>
  <c r="AS15" i="16"/>
  <c r="AT15" i="16" s="1"/>
  <c r="AJ35" i="16"/>
  <c r="AK35" i="16" s="1"/>
  <c r="AM34" i="16"/>
  <c r="AN34" i="16" s="1"/>
  <c r="AJ31" i="16"/>
  <c r="AK31" i="16" s="1"/>
  <c r="AM30" i="16"/>
  <c r="AN30" i="16" s="1"/>
  <c r="AJ28" i="16"/>
  <c r="AK28" i="16" s="1"/>
  <c r="AM27" i="16"/>
  <c r="AN27" i="16" s="1"/>
  <c r="AJ24" i="16"/>
  <c r="AK24" i="16" s="1"/>
  <c r="AM23" i="16"/>
  <c r="AN23" i="16" s="1"/>
  <c r="AM20" i="16"/>
  <c r="AN20" i="16" s="1"/>
  <c r="AM18" i="16"/>
  <c r="AN18" i="16" s="1"/>
  <c r="AJ15" i="16"/>
  <c r="AK15" i="16" s="1"/>
  <c r="AM14" i="16"/>
  <c r="AN14" i="16" s="1"/>
  <c r="AJ42" i="16"/>
  <c r="AK42" i="16" s="1"/>
  <c r="AJ38" i="16"/>
  <c r="AK38" i="16" s="1"/>
  <c r="AM36" i="16"/>
  <c r="AN36" i="16" s="1"/>
  <c r="AJ34" i="16"/>
  <c r="AK34" i="16" s="1"/>
  <c r="AM33" i="16"/>
  <c r="AN33" i="16" s="1"/>
  <c r="AJ30" i="16"/>
  <c r="AK30" i="16" s="1"/>
  <c r="AM29" i="16"/>
  <c r="AN29" i="16" s="1"/>
  <c r="AJ27" i="16"/>
  <c r="AK27" i="16" s="1"/>
  <c r="AM26" i="16"/>
  <c r="AN26" i="16" s="1"/>
  <c r="AJ23" i="16"/>
  <c r="AK23" i="16" s="1"/>
  <c r="AM22" i="16"/>
  <c r="AN22" i="16" s="1"/>
  <c r="AJ20" i="16"/>
  <c r="AK20" i="16" s="1"/>
  <c r="AM17" i="16"/>
  <c r="AN17" i="16" s="1"/>
  <c r="AJ14" i="16"/>
  <c r="AK14" i="16" s="1"/>
  <c r="AM13" i="16"/>
  <c r="AN13" i="16" s="1"/>
  <c r="AJ43" i="16"/>
  <c r="AK43" i="16" s="1"/>
  <c r="AJ33" i="16"/>
  <c r="AK33" i="16" s="1"/>
  <c r="AJ29" i="16"/>
  <c r="AK29" i="16" s="1"/>
  <c r="AJ26" i="16"/>
  <c r="AK26" i="16" s="1"/>
  <c r="AM25" i="16"/>
  <c r="AN25" i="16" s="1"/>
  <c r="AM21" i="16"/>
  <c r="AN21" i="16" s="1"/>
  <c r="AM19" i="16"/>
  <c r="AN19" i="16" s="1"/>
  <c r="AJ17" i="16"/>
  <c r="AK17" i="16" s="1"/>
  <c r="AM16" i="16"/>
  <c r="AN16" i="16" s="1"/>
  <c r="AD35" i="16"/>
  <c r="AE35" i="16" s="1"/>
  <c r="AD33" i="16"/>
  <c r="AE33" i="16" s="1"/>
  <c r="AD40" i="16"/>
  <c r="AE40" i="16" s="1"/>
  <c r="X26" i="16"/>
  <c r="Y26" i="16" s="1"/>
  <c r="AA32" i="16"/>
  <c r="AB32" i="16" s="1"/>
  <c r="AA45" i="16"/>
  <c r="AB45" i="16" s="1"/>
  <c r="AA42" i="16"/>
  <c r="AB42" i="16" s="1"/>
  <c r="AA41" i="16"/>
  <c r="AB41" i="16" s="1"/>
  <c r="AA43" i="16"/>
  <c r="AB43" i="16" s="1"/>
  <c r="X28" i="16"/>
  <c r="Y28" i="16" s="1"/>
  <c r="X34" i="16"/>
  <c r="Y34" i="16" s="1"/>
  <c r="U23" i="16"/>
  <c r="V23" i="16" s="1"/>
  <c r="U43" i="16"/>
  <c r="V43" i="16" s="1"/>
  <c r="U25" i="16"/>
  <c r="V25" i="16" s="1"/>
  <c r="U27" i="16"/>
  <c r="V27" i="16" s="1"/>
  <c r="U35" i="16"/>
  <c r="V35" i="16" s="1"/>
  <c r="R39" i="16"/>
  <c r="S39" i="16" s="1"/>
  <c r="R43" i="16"/>
  <c r="S43" i="16" s="1"/>
  <c r="U45" i="16"/>
  <c r="V45" i="16" s="1"/>
  <c r="L42" i="16"/>
  <c r="M42" i="16" s="1"/>
  <c r="F27" i="16"/>
  <c r="G27" i="16" s="1"/>
  <c r="I42" i="16"/>
  <c r="J42" i="16" s="1"/>
  <c r="F23" i="16"/>
  <c r="G23" i="16" s="1"/>
  <c r="L37" i="16"/>
  <c r="M37" i="16" s="1"/>
  <c r="L38" i="16"/>
  <c r="M38" i="16" s="1"/>
  <c r="L39" i="16"/>
  <c r="M39" i="16" s="1"/>
  <c r="L25" i="16"/>
  <c r="M25" i="16" s="1"/>
  <c r="L34" i="16"/>
  <c r="M34" i="16" s="1"/>
  <c r="L26" i="16"/>
  <c r="M26" i="16" s="1"/>
  <c r="L33" i="16"/>
  <c r="M33" i="16" s="1"/>
  <c r="AZ18" i="16"/>
  <c r="AZ20" i="16"/>
  <c r="R17" i="16"/>
  <c r="S17" i="16" s="1"/>
  <c r="AA24" i="16"/>
  <c r="AB24" i="16" s="1"/>
  <c r="AZ12" i="16"/>
  <c r="AZ28" i="16"/>
  <c r="L21" i="16"/>
  <c r="M21" i="16" s="1"/>
  <c r="X25" i="16"/>
  <c r="Y25" i="16" s="1"/>
  <c r="X20" i="16"/>
  <c r="Y20" i="16" s="1"/>
  <c r="AA18" i="16"/>
  <c r="AB18" i="16" s="1"/>
  <c r="AA17" i="16"/>
  <c r="AB17" i="16" s="1"/>
  <c r="U20" i="16"/>
  <c r="V20" i="16" s="1"/>
  <c r="U21" i="16"/>
  <c r="V21" i="16" s="1"/>
  <c r="O24" i="16"/>
  <c r="P24" i="16" s="1"/>
  <c r="O17" i="16"/>
  <c r="P17" i="16" s="1"/>
  <c r="O16" i="16"/>
  <c r="P16" i="16" s="1"/>
  <c r="X27" i="16"/>
  <c r="Y27" i="16" s="1"/>
  <c r="X21" i="16"/>
  <c r="Y21" i="16" s="1"/>
  <c r="X24" i="16"/>
  <c r="Y24" i="16" s="1"/>
  <c r="R23" i="16"/>
  <c r="S23" i="16" s="1"/>
  <c r="R25" i="16"/>
  <c r="S25" i="16" s="1"/>
  <c r="R27" i="16"/>
  <c r="S27" i="16" s="1"/>
  <c r="R29" i="16"/>
  <c r="S29" i="16" s="1"/>
  <c r="R19" i="16"/>
  <c r="S19" i="16" s="1"/>
  <c r="AD30" i="16"/>
  <c r="AE30" i="16" s="1"/>
  <c r="AD32" i="16"/>
  <c r="AE32" i="16" s="1"/>
  <c r="AD31" i="16"/>
  <c r="AE31" i="16" s="1"/>
  <c r="AD17" i="16"/>
  <c r="AE17" i="16" s="1"/>
  <c r="AD16" i="16"/>
  <c r="AE16" i="16" s="1"/>
  <c r="AA35" i="16"/>
  <c r="AB35" i="16" s="1"/>
  <c r="AA36" i="16"/>
  <c r="AB36" i="16" s="1"/>
  <c r="AA19" i="16"/>
  <c r="AB19" i="16" s="1"/>
  <c r="AA21" i="16"/>
  <c r="AB21" i="16" s="1"/>
  <c r="AA20" i="16"/>
  <c r="AB20" i="16" s="1"/>
  <c r="AA22" i="16"/>
  <c r="AB22" i="16" s="1"/>
  <c r="AA34" i="16"/>
  <c r="AB34" i="16" s="1"/>
  <c r="L28" i="16"/>
  <c r="M28" i="16" s="1"/>
  <c r="AZ24" i="16"/>
  <c r="U18" i="16"/>
  <c r="V18" i="16" s="1"/>
  <c r="L29" i="16"/>
  <c r="M29" i="16" s="1"/>
  <c r="L27" i="16"/>
  <c r="M27" i="16" s="1"/>
  <c r="X23" i="16"/>
  <c r="Y23" i="16" s="1"/>
  <c r="AA27" i="16"/>
  <c r="AB27" i="16" s="1"/>
  <c r="AA29" i="16"/>
  <c r="AB29" i="16" s="1"/>
  <c r="F17" i="16"/>
  <c r="G17" i="16" s="1"/>
  <c r="F38" i="16"/>
  <c r="G38" i="16" s="1"/>
  <c r="F39" i="16"/>
  <c r="G39" i="16" s="1"/>
  <c r="F40" i="16"/>
  <c r="G40" i="16" s="1"/>
  <c r="F41" i="16"/>
  <c r="G41" i="16" s="1"/>
  <c r="F35" i="16"/>
  <c r="G35" i="16" s="1"/>
  <c r="BN39" i="16"/>
  <c r="BO39" i="16" s="1"/>
  <c r="AD22" i="16"/>
  <c r="AE22" i="16" s="1"/>
  <c r="O29" i="16"/>
  <c r="P29" i="16" s="1"/>
  <c r="O30" i="16"/>
  <c r="P30" i="16" s="1"/>
  <c r="O31" i="16"/>
  <c r="P31" i="16" s="1"/>
  <c r="O32" i="16"/>
  <c r="P32" i="16" s="1"/>
  <c r="O33" i="16"/>
  <c r="P33" i="16" s="1"/>
  <c r="O34" i="16"/>
  <c r="P34" i="16" s="1"/>
  <c r="X37" i="16"/>
  <c r="Y37" i="16" s="1"/>
  <c r="U39" i="16"/>
  <c r="V39" i="16" s="1"/>
  <c r="U42" i="16"/>
  <c r="V42" i="16" s="1"/>
  <c r="U40" i="16"/>
  <c r="V40" i="16" s="1"/>
  <c r="AA33" i="16"/>
  <c r="AB33" i="16" s="1"/>
  <c r="L18" i="16"/>
  <c r="M18" i="16" s="1"/>
  <c r="L17" i="16"/>
  <c r="M17" i="16" s="1"/>
  <c r="O35" i="16"/>
  <c r="P35" i="16" s="1"/>
  <c r="AA38" i="16"/>
  <c r="AB38" i="16" s="1"/>
  <c r="L41" i="16"/>
  <c r="M41" i="16" s="1"/>
  <c r="O42" i="16"/>
  <c r="P42" i="16" s="1"/>
  <c r="U41" i="16"/>
  <c r="V41" i="16" s="1"/>
  <c r="U38" i="16"/>
  <c r="V38" i="16" s="1"/>
  <c r="U37" i="16"/>
  <c r="V37" i="16" s="1"/>
  <c r="X36" i="16"/>
  <c r="Y36" i="16" s="1"/>
  <c r="X35" i="16"/>
  <c r="Y35" i="16" s="1"/>
  <c r="F33" i="16"/>
  <c r="G33" i="16" s="1"/>
  <c r="L31" i="16"/>
  <c r="M31" i="16" s="1"/>
  <c r="X30" i="16"/>
  <c r="Y30" i="16" s="1"/>
  <c r="AA28" i="16"/>
  <c r="AB28" i="16" s="1"/>
  <c r="F25" i="16"/>
  <c r="G25" i="16" s="1"/>
  <c r="L23" i="16"/>
  <c r="M23" i="16" s="1"/>
  <c r="O15" i="16"/>
  <c r="P15" i="16" s="1"/>
  <c r="U16" i="16"/>
  <c r="V16" i="16" s="1"/>
  <c r="R15" i="16"/>
  <c r="S15" i="16" s="1"/>
  <c r="X16" i="16"/>
  <c r="Y16" i="16" s="1"/>
  <c r="Z13" i="16"/>
  <c r="BQ8" i="16"/>
  <c r="BR8" i="16" s="1"/>
  <c r="BQ16" i="16"/>
  <c r="BR16" i="16" s="1"/>
  <c r="BQ24" i="16"/>
  <c r="BR24" i="16" s="1"/>
  <c r="BQ32" i="16"/>
  <c r="BR32" i="16" s="1"/>
  <c r="BQ40" i="16"/>
  <c r="BR40" i="16" s="1"/>
  <c r="BK6" i="16"/>
  <c r="BL6" i="16" s="1"/>
  <c r="BK14" i="16"/>
  <c r="BL14" i="16" s="1"/>
  <c r="AD26" i="16"/>
  <c r="AE26" i="16" s="1"/>
  <c r="AA31" i="16"/>
  <c r="AB31" i="16" s="1"/>
  <c r="X38" i="16"/>
  <c r="Y38" i="16" s="1"/>
  <c r="AD27" i="16"/>
  <c r="AE27" i="16" s="1"/>
  <c r="AA37" i="16"/>
  <c r="AB37" i="16" s="1"/>
  <c r="AZ14" i="16"/>
  <c r="AZ22" i="16"/>
  <c r="AZ30" i="16"/>
  <c r="AZ38" i="16"/>
  <c r="U24" i="16"/>
  <c r="V24" i="16" s="1"/>
  <c r="L36" i="16"/>
  <c r="M36" i="16" s="1"/>
  <c r="AZ34" i="16"/>
  <c r="U17" i="16"/>
  <c r="V17" i="16" s="1"/>
  <c r="U22" i="16"/>
  <c r="V22" i="16" s="1"/>
  <c r="U26" i="16"/>
  <c r="V26" i="16" s="1"/>
  <c r="U28" i="16"/>
  <c r="V28" i="16" s="1"/>
  <c r="R35" i="16"/>
  <c r="S35" i="16" s="1"/>
  <c r="O37" i="16"/>
  <c r="P37" i="16" s="1"/>
  <c r="AD23" i="16"/>
  <c r="AE23" i="16" s="1"/>
  <c r="O20" i="16"/>
  <c r="P20" i="16" s="1"/>
  <c r="L19" i="16"/>
  <c r="M19" i="16" s="1"/>
  <c r="O18" i="16"/>
  <c r="P18" i="16" s="1"/>
  <c r="O27" i="16"/>
  <c r="P27" i="16" s="1"/>
  <c r="AA23" i="16"/>
  <c r="AB23" i="16" s="1"/>
  <c r="AA25" i="16"/>
  <c r="AB25" i="16" s="1"/>
  <c r="X32" i="16"/>
  <c r="Y32" i="16" s="1"/>
  <c r="U31" i="16"/>
  <c r="V31" i="16" s="1"/>
  <c r="AA30" i="16"/>
  <c r="AB30" i="16" s="1"/>
  <c r="X29" i="16"/>
  <c r="Y29" i="16" s="1"/>
  <c r="AA16" i="16"/>
  <c r="AB16" i="16" s="1"/>
  <c r="O25" i="16"/>
  <c r="P25" i="16" s="1"/>
  <c r="O26" i="16"/>
  <c r="P26" i="16" s="1"/>
  <c r="AD20" i="16"/>
  <c r="AE20" i="16" s="1"/>
  <c r="AD18" i="16"/>
  <c r="AE18" i="16" s="1"/>
  <c r="AD19" i="16"/>
  <c r="AE19" i="16" s="1"/>
  <c r="AD21" i="16"/>
  <c r="AE21" i="16" s="1"/>
  <c r="AD28" i="16"/>
  <c r="AE28" i="16" s="1"/>
  <c r="AD29" i="16"/>
  <c r="AE29" i="16" s="1"/>
  <c r="U32" i="16"/>
  <c r="V32" i="16" s="1"/>
  <c r="U34" i="16"/>
  <c r="V34" i="16" s="1"/>
  <c r="O40" i="16"/>
  <c r="P40" i="16" s="1"/>
  <c r="O41" i="16"/>
  <c r="P41" i="16" s="1"/>
  <c r="R31" i="16"/>
  <c r="S31" i="16" s="1"/>
  <c r="AZ42" i="16"/>
  <c r="R21" i="16"/>
  <c r="S21" i="16" s="1"/>
  <c r="AD24" i="16"/>
  <c r="AE24" i="16" s="1"/>
  <c r="O28" i="16"/>
  <c r="P28" i="16" s="1"/>
  <c r="R33" i="16"/>
  <c r="S33" i="16" s="1"/>
  <c r="L32" i="16"/>
  <c r="M32" i="16" s="1"/>
  <c r="U29" i="16"/>
  <c r="V29" i="16" s="1"/>
  <c r="L24" i="16"/>
  <c r="M24" i="16" s="1"/>
  <c r="X22" i="16"/>
  <c r="Y22" i="16" s="1"/>
  <c r="U19" i="16"/>
  <c r="V19" i="16" s="1"/>
  <c r="X18" i="16"/>
  <c r="Y18" i="16" s="1"/>
  <c r="X43" i="16"/>
  <c r="Y43" i="16" s="1"/>
  <c r="AA40" i="16"/>
  <c r="AB40" i="16" s="1"/>
  <c r="O39" i="16"/>
  <c r="P39" i="16" s="1"/>
  <c r="O38" i="16"/>
  <c r="P38" i="16" s="1"/>
  <c r="U36" i="16"/>
  <c r="V36" i="16" s="1"/>
  <c r="X33" i="16"/>
  <c r="Y33" i="16" s="1"/>
  <c r="L30" i="16"/>
  <c r="M30" i="16" s="1"/>
  <c r="AA26" i="16"/>
  <c r="AB26" i="16" s="1"/>
  <c r="L22" i="16"/>
  <c r="M22" i="16" s="1"/>
  <c r="L16" i="16"/>
  <c r="M16" i="16" s="1"/>
  <c r="AZ44" i="16"/>
  <c r="AZ23" i="16"/>
  <c r="BN38" i="16"/>
  <c r="BO38" i="16" s="1"/>
  <c r="BE35" i="16"/>
  <c r="BF35" i="16" s="1"/>
  <c r="BN44" i="16"/>
  <c r="BO44" i="16" s="1"/>
  <c r="BE41" i="16"/>
  <c r="BF41" i="16" s="1"/>
  <c r="X17" i="16"/>
  <c r="Y17" i="16" s="1"/>
  <c r="F26" i="16"/>
  <c r="G26" i="16" s="1"/>
  <c r="F43" i="16"/>
  <c r="G43" i="16" s="1"/>
  <c r="X39" i="16"/>
  <c r="Y39" i="16" s="1"/>
  <c r="AD36" i="16"/>
  <c r="AE36" i="16" s="1"/>
  <c r="U30" i="16"/>
  <c r="V30" i="16" s="1"/>
  <c r="AD25" i="16"/>
  <c r="AE25" i="16" s="1"/>
  <c r="O19" i="16"/>
  <c r="P19" i="16" s="1"/>
  <c r="AZ26" i="16"/>
  <c r="H15" i="16"/>
  <c r="I15" i="16" s="1"/>
  <c r="J15" i="16" s="1"/>
  <c r="L15" i="16"/>
  <c r="M15" i="16" s="1"/>
  <c r="BQ42" i="16"/>
  <c r="BR42" i="16" s="1"/>
  <c r="BH25" i="16"/>
  <c r="BI25" i="16" s="1"/>
  <c r="BE8" i="16"/>
  <c r="BF8" i="16" s="1"/>
  <c r="BB19" i="16"/>
  <c r="BC19" i="16" s="1"/>
  <c r="BE28" i="16"/>
  <c r="BF28" i="16" s="1"/>
  <c r="AZ39" i="16"/>
  <c r="BN6" i="16"/>
  <c r="BO6" i="16" s="1"/>
  <c r="BN14" i="16"/>
  <c r="BO14" i="16" s="1"/>
  <c r="BN22" i="16"/>
  <c r="BO22" i="16" s="1"/>
  <c r="BN30" i="16"/>
  <c r="BO30" i="16" s="1"/>
  <c r="F16" i="16"/>
  <c r="G16" i="16" s="1"/>
  <c r="F28" i="16"/>
  <c r="G28" i="16" s="1"/>
  <c r="F34" i="16"/>
  <c r="G34" i="16" s="1"/>
  <c r="R16" i="16"/>
  <c r="S16" i="16" s="1"/>
  <c r="X41" i="16"/>
  <c r="Y41" i="16" s="1"/>
  <c r="O23" i="16"/>
  <c r="P23" i="16" s="1"/>
  <c r="O22" i="16"/>
  <c r="P22" i="16" s="1"/>
  <c r="O21" i="16"/>
  <c r="P21" i="16" s="1"/>
  <c r="BH27" i="16"/>
  <c r="BI27" i="16" s="1"/>
  <c r="I38" i="16"/>
  <c r="J38" i="16" s="1"/>
  <c r="I36" i="16"/>
  <c r="J36" i="16" s="1"/>
  <c r="I34" i="16"/>
  <c r="J34" i="16" s="1"/>
  <c r="I32" i="16"/>
  <c r="J32" i="16" s="1"/>
  <c r="I30" i="16"/>
  <c r="J30" i="16" s="1"/>
  <c r="I28" i="16"/>
  <c r="J28" i="16" s="1"/>
  <c r="I26" i="16"/>
  <c r="J26" i="16" s="1"/>
  <c r="I24" i="16"/>
  <c r="J24" i="16" s="1"/>
  <c r="I22" i="16"/>
  <c r="J22" i="16" s="1"/>
  <c r="I20" i="16"/>
  <c r="J20" i="16" s="1"/>
  <c r="I18" i="16"/>
  <c r="J18" i="16" s="1"/>
  <c r="I16" i="16"/>
  <c r="J16" i="16" s="1"/>
  <c r="BK12" i="16"/>
  <c r="BL12" i="16" s="1"/>
  <c r="BB13" i="16"/>
  <c r="BC13" i="16" s="1"/>
  <c r="BB12" i="16"/>
  <c r="BC12" i="16" s="1"/>
  <c r="BE30" i="16"/>
  <c r="BF30" i="16" s="1"/>
  <c r="AZ13" i="16"/>
  <c r="BQ6" i="16"/>
  <c r="BR6" i="16" s="1"/>
  <c r="BQ14" i="16"/>
  <c r="BR14" i="16" s="1"/>
  <c r="BQ22" i="16"/>
  <c r="BR22" i="16" s="1"/>
  <c r="BQ30" i="16"/>
  <c r="BR30" i="16" s="1"/>
  <c r="BH15" i="16"/>
  <c r="BI15" i="16" s="1"/>
  <c r="BH31" i="16"/>
  <c r="BI31" i="16" s="1"/>
  <c r="BB21" i="16"/>
  <c r="BC21" i="16" s="1"/>
  <c r="BE38" i="16"/>
  <c r="BF38" i="16" s="1"/>
  <c r="AZ29" i="16"/>
  <c r="AZ27" i="16"/>
  <c r="AZ25" i="16"/>
  <c r="R42" i="16"/>
  <c r="S42" i="16" s="1"/>
  <c r="R40" i="16"/>
  <c r="S40" i="16" s="1"/>
  <c r="R38" i="16"/>
  <c r="S38" i="16" s="1"/>
  <c r="R36" i="16"/>
  <c r="S36" i="16" s="1"/>
  <c r="R34" i="16"/>
  <c r="S34" i="16" s="1"/>
  <c r="R32" i="16"/>
  <c r="S32" i="16" s="1"/>
  <c r="F32" i="16"/>
  <c r="G32" i="16" s="1"/>
  <c r="R30" i="16"/>
  <c r="S30" i="16" s="1"/>
  <c r="F30" i="16"/>
  <c r="G30" i="16" s="1"/>
  <c r="R28" i="16"/>
  <c r="S28" i="16" s="1"/>
  <c r="R26" i="16"/>
  <c r="S26" i="16" s="1"/>
  <c r="R24" i="16"/>
  <c r="S24" i="16" s="1"/>
  <c r="F24" i="16"/>
  <c r="G24" i="16" s="1"/>
  <c r="R22" i="16"/>
  <c r="S22" i="16" s="1"/>
  <c r="F22" i="16"/>
  <c r="G22" i="16" s="1"/>
  <c r="R20" i="16"/>
  <c r="S20" i="16" s="1"/>
  <c r="F20" i="16"/>
  <c r="G20" i="16" s="1"/>
  <c r="X19" i="16"/>
  <c r="Y19" i="16" s="1"/>
  <c r="R18" i="16"/>
  <c r="S18" i="16" s="1"/>
  <c r="F18" i="16"/>
  <c r="G18" i="16" s="1"/>
  <c r="H13" i="16"/>
  <c r="N14" i="16"/>
  <c r="O14" i="16" s="1"/>
  <c r="P14" i="16" s="1"/>
  <c r="T15" i="16"/>
  <c r="U15" i="16" s="1"/>
  <c r="V15" i="16" s="1"/>
  <c r="R14" i="16"/>
  <c r="S14" i="16" s="1"/>
  <c r="X15" i="16"/>
  <c r="Y15" i="16" s="1"/>
  <c r="Z12" i="16"/>
  <c r="BN7" i="16"/>
  <c r="BO7" i="16" s="1"/>
  <c r="BN15" i="16"/>
  <c r="BO15" i="16" s="1"/>
  <c r="BN23" i="16"/>
  <c r="BO23" i="16" s="1"/>
  <c r="BN31" i="16"/>
  <c r="BO31" i="16" s="1"/>
  <c r="BN5" i="16"/>
  <c r="BO5" i="16" s="1"/>
  <c r="BH13" i="16"/>
  <c r="BI13" i="16" s="1"/>
  <c r="BK22" i="16"/>
  <c r="BL22" i="16" s="1"/>
  <c r="BK30" i="16"/>
  <c r="BL30" i="16" s="1"/>
  <c r="BB7" i="16"/>
  <c r="BC7" i="16" s="1"/>
  <c r="BE16" i="16"/>
  <c r="BF16" i="16" s="1"/>
  <c r="BB27" i="16"/>
  <c r="BC27" i="16" s="1"/>
  <c r="AZ11" i="16"/>
  <c r="AZ10" i="16"/>
  <c r="AZ43" i="16"/>
  <c r="AZ41" i="16"/>
  <c r="BE31" i="16"/>
  <c r="BF31" i="16" s="1"/>
  <c r="I39" i="16"/>
  <c r="J39" i="16" s="1"/>
  <c r="I37" i="16"/>
  <c r="J37" i="16" s="1"/>
  <c r="I35" i="16"/>
  <c r="J35" i="16" s="1"/>
  <c r="I33" i="16"/>
  <c r="J33" i="16" s="1"/>
  <c r="I31" i="16"/>
  <c r="J31" i="16" s="1"/>
  <c r="I29" i="16"/>
  <c r="J29" i="16" s="1"/>
  <c r="I27" i="16"/>
  <c r="J27" i="16" s="1"/>
  <c r="I25" i="16"/>
  <c r="J25" i="16" s="1"/>
  <c r="I23" i="16"/>
  <c r="J23" i="16" s="1"/>
  <c r="I21" i="16"/>
  <c r="J21" i="16" s="1"/>
  <c r="I19" i="16"/>
  <c r="J19" i="16" s="1"/>
  <c r="I17" i="16"/>
  <c r="J17" i="16" s="1"/>
  <c r="T12" i="16"/>
  <c r="BQ5" i="16"/>
  <c r="BR5" i="16" s="1"/>
  <c r="BK13" i="16"/>
  <c r="BL13" i="16" s="1"/>
  <c r="BH24" i="16"/>
  <c r="BI24" i="16" s="1"/>
  <c r="BK33" i="16"/>
  <c r="BL33" i="16" s="1"/>
  <c r="BK41" i="16"/>
  <c r="BL41" i="16" s="1"/>
  <c r="BB10" i="16"/>
  <c r="BC10" i="16" s="1"/>
  <c r="BB18" i="16"/>
  <c r="BC18" i="16" s="1"/>
  <c r="BB26" i="16"/>
  <c r="BC26" i="16" s="1"/>
  <c r="AZ21" i="16"/>
  <c r="AZ19" i="16"/>
  <c r="AZ17" i="16"/>
  <c r="AZ15" i="16"/>
  <c r="AZ37" i="16"/>
  <c r="AZ35" i="16"/>
  <c r="AZ33" i="16"/>
  <c r="AZ31" i="16"/>
  <c r="BN12" i="16"/>
  <c r="BO12" i="16" s="1"/>
  <c r="BN20" i="16"/>
  <c r="BO20" i="16" s="1"/>
  <c r="BN28" i="16"/>
  <c r="BO28" i="16" s="1"/>
  <c r="BN36" i="16"/>
  <c r="BO36" i="16" s="1"/>
  <c r="BH10" i="16"/>
  <c r="BI10" i="16" s="1"/>
  <c r="BH17" i="16"/>
  <c r="BI17" i="16" s="1"/>
  <c r="BK23" i="16"/>
  <c r="BL23" i="16" s="1"/>
  <c r="BH33" i="16"/>
  <c r="BI33" i="16" s="1"/>
  <c r="BH32" i="16"/>
  <c r="BI32" i="16" s="1"/>
  <c r="BK39" i="16"/>
  <c r="BL39" i="16" s="1"/>
  <c r="BE13" i="16"/>
  <c r="BF13" i="16" s="1"/>
  <c r="BE21" i="16"/>
  <c r="BF21" i="16" s="1"/>
  <c r="BE29" i="16"/>
  <c r="BF29" i="16" s="1"/>
  <c r="BB36" i="16"/>
  <c r="BC36" i="16" s="1"/>
  <c r="BK27" i="16"/>
  <c r="BL27" i="16" s="1"/>
  <c r="N12" i="16"/>
  <c r="T13" i="16"/>
  <c r="Z14" i="16"/>
  <c r="BN11" i="16"/>
  <c r="BO11" i="16" s="1"/>
  <c r="BN19" i="16"/>
  <c r="BO19" i="16" s="1"/>
  <c r="BN27" i="16"/>
  <c r="BO27" i="16" s="1"/>
  <c r="BN35" i="16"/>
  <c r="BO35" i="16" s="1"/>
  <c r="BN43" i="16"/>
  <c r="BO43" i="16" s="1"/>
  <c r="BH9" i="16"/>
  <c r="BI9" i="16" s="1"/>
  <c r="BK18" i="16"/>
  <c r="BL18" i="16" s="1"/>
  <c r="BK26" i="16"/>
  <c r="BL26" i="16" s="1"/>
  <c r="BH37" i="16"/>
  <c r="BI37" i="16" s="1"/>
  <c r="BB11" i="16"/>
  <c r="BC11" i="16" s="1"/>
  <c r="BE20" i="16"/>
  <c r="BF20" i="16" s="1"/>
  <c r="BB31" i="16"/>
  <c r="BC31" i="16" s="1"/>
  <c r="BQ7" i="16"/>
  <c r="BR7" i="16" s="1"/>
  <c r="BQ15" i="16"/>
  <c r="BR15" i="16" s="1"/>
  <c r="BQ23" i="16"/>
  <c r="BR23" i="16" s="1"/>
  <c r="BQ31" i="16"/>
  <c r="BR31" i="16" s="1"/>
  <c r="BQ39" i="16"/>
  <c r="BR39" i="16" s="1"/>
  <c r="BH8" i="16"/>
  <c r="BI8" i="16" s="1"/>
  <c r="BK17" i="16"/>
  <c r="BL17" i="16" s="1"/>
  <c r="BK25" i="16"/>
  <c r="BL25" i="16" s="1"/>
  <c r="BH36" i="16"/>
  <c r="BI36" i="16" s="1"/>
  <c r="BH44" i="16"/>
  <c r="BI44" i="16" s="1"/>
  <c r="BE11" i="16"/>
  <c r="BF11" i="16" s="1"/>
  <c r="BE19" i="16"/>
  <c r="BF19" i="16" s="1"/>
  <c r="BE27" i="16"/>
  <c r="BF27" i="16" s="1"/>
  <c r="BB38" i="16"/>
  <c r="BC38" i="16" s="1"/>
  <c r="BQ13" i="16"/>
  <c r="BR13" i="16" s="1"/>
  <c r="BQ21" i="16"/>
  <c r="BR21" i="16" s="1"/>
  <c r="BQ29" i="16"/>
  <c r="BR29" i="16" s="1"/>
  <c r="BQ37" i="16"/>
  <c r="BR37" i="16" s="1"/>
  <c r="BK11" i="16"/>
  <c r="BL11" i="16" s="1"/>
  <c r="BH18" i="16"/>
  <c r="BI18" i="16" s="1"/>
  <c r="BH26" i="16"/>
  <c r="BI26" i="16" s="1"/>
  <c r="BH34" i="16"/>
  <c r="BI34" i="16" s="1"/>
  <c r="BH42" i="16"/>
  <c r="BI42" i="16" s="1"/>
  <c r="BB16" i="16"/>
  <c r="BC16" i="16" s="1"/>
  <c r="BB24" i="16"/>
  <c r="BC24" i="16" s="1"/>
  <c r="BB32" i="16"/>
  <c r="BC32" i="16" s="1"/>
  <c r="BE37" i="16"/>
  <c r="BF37" i="16" s="1"/>
  <c r="BK16" i="16"/>
  <c r="BL16" i="16" s="1"/>
  <c r="BK32" i="16"/>
  <c r="BL32" i="16" s="1"/>
  <c r="BE6" i="16"/>
  <c r="BF6" i="16" s="1"/>
  <c r="BE14" i="16"/>
  <c r="BF14" i="16" s="1"/>
  <c r="BE34" i="16"/>
  <c r="BF34" i="16" s="1"/>
  <c r="BN9" i="16"/>
  <c r="BO9" i="16" s="1"/>
  <c r="BN17" i="16"/>
  <c r="BO17" i="16" s="1"/>
  <c r="BN25" i="16"/>
  <c r="BO25" i="16" s="1"/>
  <c r="BN33" i="16"/>
  <c r="BO33" i="16" s="1"/>
  <c r="BH7" i="16"/>
  <c r="BI7" i="16" s="1"/>
  <c r="BK20" i="16"/>
  <c r="BL20" i="16" s="1"/>
  <c r="BK36" i="16"/>
  <c r="BL36" i="16" s="1"/>
  <c r="BE26" i="16"/>
  <c r="BF26" i="16" s="1"/>
  <c r="BB41" i="16"/>
  <c r="BC41" i="16" s="1"/>
  <c r="F15" i="16"/>
  <c r="G15" i="16" s="1"/>
  <c r="H12" i="16"/>
  <c r="N13" i="16"/>
  <c r="T14" i="16"/>
  <c r="Z15" i="16"/>
  <c r="AA15" i="16" s="1"/>
  <c r="AB15" i="16" s="1"/>
  <c r="X14" i="16"/>
  <c r="Y14" i="16" s="1"/>
  <c r="BQ12" i="16"/>
  <c r="BR12" i="16" s="1"/>
  <c r="BQ20" i="16"/>
  <c r="BR20" i="16" s="1"/>
  <c r="BQ28" i="16"/>
  <c r="BR28" i="16" s="1"/>
  <c r="BQ36" i="16"/>
  <c r="BR36" i="16" s="1"/>
  <c r="BK10" i="16"/>
  <c r="BL10" i="16" s="1"/>
  <c r="BH21" i="16"/>
  <c r="BI21" i="16" s="1"/>
  <c r="BH29" i="16"/>
  <c r="BI29" i="16" s="1"/>
  <c r="BK38" i="16"/>
  <c r="BL38" i="16" s="1"/>
  <c r="BB15" i="16"/>
  <c r="BC15" i="16" s="1"/>
  <c r="BB23" i="16"/>
  <c r="BC23" i="16" s="1"/>
  <c r="BB35" i="16"/>
  <c r="BC35" i="16" s="1"/>
  <c r="BN10" i="16"/>
  <c r="BO10" i="16" s="1"/>
  <c r="BN18" i="16"/>
  <c r="BO18" i="16" s="1"/>
  <c r="BN26" i="16"/>
  <c r="BO26" i="16" s="1"/>
  <c r="BN34" i="16"/>
  <c r="BO34" i="16" s="1"/>
  <c r="BN42" i="16"/>
  <c r="BO42" i="16" s="1"/>
  <c r="BK9" i="16"/>
  <c r="BL9" i="16" s="1"/>
  <c r="BH20" i="16"/>
  <c r="BI20" i="16" s="1"/>
  <c r="BH28" i="16"/>
  <c r="BI28" i="16" s="1"/>
  <c r="BK37" i="16"/>
  <c r="BL37" i="16" s="1"/>
  <c r="BB6" i="16"/>
  <c r="BC6" i="16" s="1"/>
  <c r="BB14" i="16"/>
  <c r="BC14" i="16" s="1"/>
  <c r="BB22" i="16"/>
  <c r="BC22" i="16" s="1"/>
  <c r="BB30" i="16"/>
  <c r="BC30" i="16" s="1"/>
  <c r="BB42" i="16"/>
  <c r="BC42" i="16" s="1"/>
  <c r="BN8" i="16"/>
  <c r="BO8" i="16" s="1"/>
  <c r="BN16" i="16"/>
  <c r="BO16" i="16" s="1"/>
  <c r="BN24" i="16"/>
  <c r="BO24" i="16" s="1"/>
  <c r="BN32" i="16"/>
  <c r="BO32" i="16" s="1"/>
  <c r="BN40" i="16"/>
  <c r="BO40" i="16" s="1"/>
  <c r="BH6" i="16"/>
  <c r="BI6" i="16" s="1"/>
  <c r="BH14" i="16"/>
  <c r="BI14" i="16" s="1"/>
  <c r="BK19" i="16"/>
  <c r="BL19" i="16" s="1"/>
  <c r="BH30" i="16"/>
  <c r="BI30" i="16" s="1"/>
  <c r="BK35" i="16"/>
  <c r="BL35" i="16" s="1"/>
  <c r="BB8" i="16"/>
  <c r="BC8" i="16" s="1"/>
  <c r="BE17" i="16"/>
  <c r="BF17" i="16" s="1"/>
  <c r="BE24" i="16"/>
  <c r="BF24" i="16" s="1"/>
  <c r="BE32" i="16"/>
  <c r="BF32" i="16" s="1"/>
  <c r="BB40" i="16"/>
  <c r="BC40" i="16" s="1"/>
  <c r="BE39" i="16"/>
  <c r="BF39" i="16" s="1"/>
  <c r="BQ38" i="16"/>
  <c r="BR38" i="16" s="1"/>
  <c r="BH19" i="16"/>
  <c r="BI19" i="16" s="1"/>
  <c r="BH35" i="16"/>
  <c r="BI35" i="16" s="1"/>
  <c r="BB9" i="16"/>
  <c r="BC9" i="16" s="1"/>
  <c r="BB17" i="16"/>
  <c r="BC17" i="16" s="1"/>
  <c r="BB37" i="16"/>
  <c r="BC37" i="16" s="1"/>
  <c r="BQ10" i="16"/>
  <c r="BR10" i="16" s="1"/>
  <c r="BQ18" i="16"/>
  <c r="BR18" i="16" s="1"/>
  <c r="BQ26" i="16"/>
  <c r="BR26" i="16" s="1"/>
  <c r="BQ34" i="16"/>
  <c r="BR34" i="16" s="1"/>
  <c r="BK8" i="16"/>
  <c r="BL8" i="16" s="1"/>
  <c r="BH23" i="16"/>
  <c r="BI23" i="16" s="1"/>
  <c r="BH39" i="16"/>
  <c r="BI39" i="16" s="1"/>
  <c r="BB29" i="16"/>
  <c r="BC29" i="16" s="1"/>
  <c r="BQ11" i="16"/>
  <c r="BR11" i="16" s="1"/>
  <c r="BQ19" i="16"/>
  <c r="BR19" i="16" s="1"/>
  <c r="BQ27" i="16"/>
  <c r="BR27" i="16" s="1"/>
  <c r="BQ35" i="16"/>
  <c r="BR35" i="16" s="1"/>
  <c r="BQ43" i="16"/>
  <c r="BR43" i="16" s="1"/>
  <c r="BH12" i="16"/>
  <c r="BI12" i="16" s="1"/>
  <c r="BK21" i="16"/>
  <c r="BL21" i="16" s="1"/>
  <c r="BK29" i="16"/>
  <c r="BL29" i="16" s="1"/>
  <c r="BH40" i="16"/>
  <c r="BI40" i="16" s="1"/>
  <c r="BE7" i="16"/>
  <c r="BF7" i="16" s="1"/>
  <c r="BE15" i="16"/>
  <c r="BF15" i="16" s="1"/>
  <c r="BE23" i="16"/>
  <c r="BF23" i="16" s="1"/>
  <c r="BB34" i="16"/>
  <c r="BC34" i="16" s="1"/>
  <c r="BE43" i="16"/>
  <c r="BF43" i="16" s="1"/>
  <c r="BQ9" i="16"/>
  <c r="BR9" i="16" s="1"/>
  <c r="BQ17" i="16"/>
  <c r="BR17" i="16" s="1"/>
  <c r="BQ25" i="16"/>
  <c r="BR25" i="16" s="1"/>
  <c r="BQ33" i="16"/>
  <c r="BR33" i="16" s="1"/>
  <c r="BQ41" i="16"/>
  <c r="BR41" i="16" s="1"/>
  <c r="BK7" i="16"/>
  <c r="BL7" i="16" s="1"/>
  <c r="BK15" i="16"/>
  <c r="BL15" i="16" s="1"/>
  <c r="BH22" i="16"/>
  <c r="BI22" i="16" s="1"/>
  <c r="BK31" i="16"/>
  <c r="BL31" i="16" s="1"/>
  <c r="BH38" i="16"/>
  <c r="BI38" i="16" s="1"/>
  <c r="BE9" i="16"/>
  <c r="BF9" i="16" s="1"/>
  <c r="BB20" i="16"/>
  <c r="BC20" i="16" s="1"/>
  <c r="BE25" i="16"/>
  <c r="BF25" i="16" s="1"/>
  <c r="BE33" i="16"/>
  <c r="BF33" i="16" s="1"/>
  <c r="BE40" i="16"/>
  <c r="BF40" i="16" s="1"/>
  <c r="BE12" i="16"/>
  <c r="BF12" i="16" s="1"/>
  <c r="BH16" i="16"/>
  <c r="BI16" i="16" s="1"/>
  <c r="BN41" i="16"/>
  <c r="BO41" i="16" s="1"/>
  <c r="BK24" i="16"/>
  <c r="BL24" i="16" s="1"/>
  <c r="BK40" i="16"/>
  <c r="BL40" i="16" s="1"/>
  <c r="BE10" i="16"/>
  <c r="BF10" i="16" s="1"/>
  <c r="BB25" i="16"/>
  <c r="BC25" i="16" s="1"/>
  <c r="BE42" i="16"/>
  <c r="BF42" i="16" s="1"/>
  <c r="BN13" i="16"/>
  <c r="BO13" i="16" s="1"/>
  <c r="BN21" i="16"/>
  <c r="BO21" i="16" s="1"/>
  <c r="BN29" i="16"/>
  <c r="BO29" i="16" s="1"/>
  <c r="BN37" i="16"/>
  <c r="BO37" i="16" s="1"/>
  <c r="BH11" i="16"/>
  <c r="BI11" i="16" s="1"/>
  <c r="BK28" i="16"/>
  <c r="BL28" i="16" s="1"/>
  <c r="BE18" i="16"/>
  <c r="BF18" i="16" s="1"/>
  <c r="BB33" i="16"/>
  <c r="BC33" i="16" s="1"/>
  <c r="BE22" i="16"/>
  <c r="BF22" i="16" s="1"/>
  <c r="BB28" i="16"/>
  <c r="BC28" i="16" s="1"/>
  <c r="X30" i="17"/>
  <c r="X26" i="17"/>
  <c r="X31" i="17"/>
  <c r="Y31" i="17" s="1"/>
  <c r="X29" i="17"/>
  <c r="X28" i="17"/>
  <c r="X27" i="17"/>
  <c r="X25" i="17"/>
  <c r="X24" i="17"/>
  <c r="AC11" i="16"/>
  <c r="K11" i="16"/>
  <c r="AI11" i="16"/>
  <c r="H10" i="16"/>
  <c r="Q11" i="16"/>
  <c r="AC10" i="16"/>
  <c r="AO8" i="16"/>
  <c r="W11" i="16"/>
  <c r="H44" i="8"/>
  <c r="H56" i="8"/>
  <c r="H67" i="8"/>
  <c r="BA5" i="16" l="1"/>
  <c r="AZ110" i="15"/>
  <c r="BA110" i="15"/>
  <c r="BD5" i="16"/>
  <c r="BC110" i="15"/>
  <c r="BG5" i="16"/>
  <c r="BJ5" i="16"/>
  <c r="BD110" i="15"/>
  <c r="K13" i="17"/>
  <c r="L13" i="17" s="1"/>
  <c r="M13" i="17" s="1"/>
  <c r="I34" i="18"/>
  <c r="G34" i="18"/>
  <c r="G31" i="18"/>
  <c r="I31" i="18"/>
  <c r="G35" i="18"/>
  <c r="I35" i="18"/>
  <c r="G32" i="18"/>
  <c r="I32" i="18"/>
  <c r="B81" i="17"/>
  <c r="M69" i="17" s="1"/>
  <c r="AC9" i="16"/>
  <c r="AD9" i="16" s="1"/>
  <c r="AE9" i="16" s="1"/>
  <c r="AI8" i="16"/>
  <c r="AO6" i="16"/>
  <c r="AP6" i="16" s="1"/>
  <c r="AQ6" i="16" s="1"/>
  <c r="E5" i="16"/>
  <c r="B47" i="17" s="1"/>
  <c r="AI9" i="16"/>
  <c r="AJ9" i="16" s="1"/>
  <c r="AK9" i="16" s="1"/>
  <c r="E7" i="16"/>
  <c r="F7" i="16" s="1"/>
  <c r="G7" i="16" s="1"/>
  <c r="AO5" i="16"/>
  <c r="B53" i="17" s="1"/>
  <c r="AC6" i="16"/>
  <c r="AD6" i="16" s="1"/>
  <c r="AE6" i="16" s="1"/>
  <c r="K10" i="16"/>
  <c r="L10" i="16" s="1"/>
  <c r="M10" i="16" s="1"/>
  <c r="K7" i="16"/>
  <c r="L7" i="16" s="1"/>
  <c r="M7" i="16" s="1"/>
  <c r="AC7" i="16"/>
  <c r="AD7" i="16" s="1"/>
  <c r="AE7" i="16" s="1"/>
  <c r="AI10" i="16"/>
  <c r="Q5" i="16"/>
  <c r="B49" i="17" s="1"/>
  <c r="AC5" i="16"/>
  <c r="B51" i="17" s="1"/>
  <c r="Q9" i="16"/>
  <c r="R9" i="16" s="1"/>
  <c r="S9" i="16" s="1"/>
  <c r="Q7" i="16"/>
  <c r="R7" i="16" s="1"/>
  <c r="S7" i="16" s="1"/>
  <c r="AI7" i="16"/>
  <c r="AI5" i="16"/>
  <c r="B52" i="17" s="1"/>
  <c r="Q10" i="16"/>
  <c r="R10" i="16" s="1"/>
  <c r="S10" i="16" s="1"/>
  <c r="W7" i="16"/>
  <c r="X7" i="16" s="1"/>
  <c r="Y7" i="16" s="1"/>
  <c r="E11" i="16"/>
  <c r="F11" i="16" s="1"/>
  <c r="G11" i="16" s="1"/>
  <c r="E9" i="16"/>
  <c r="F9" i="16" s="1"/>
  <c r="G9" i="16" s="1"/>
  <c r="E10" i="16"/>
  <c r="F10" i="16" s="1"/>
  <c r="G10" i="16" s="1"/>
  <c r="AC8" i="16"/>
  <c r="AD8" i="16" s="1"/>
  <c r="AE8" i="16" s="1"/>
  <c r="W10" i="16"/>
  <c r="X10" i="16" s="1"/>
  <c r="Y10" i="16" s="1"/>
  <c r="K5" i="16"/>
  <c r="B48" i="17" s="1"/>
  <c r="E8" i="16"/>
  <c r="F8" i="16" s="1"/>
  <c r="G8" i="16" s="1"/>
  <c r="W8" i="16"/>
  <c r="X8" i="16" s="1"/>
  <c r="Y8" i="16" s="1"/>
  <c r="K6" i="16"/>
  <c r="L6" i="16" s="1"/>
  <c r="M6" i="16" s="1"/>
  <c r="W5" i="16"/>
  <c r="B50" i="17" s="1"/>
  <c r="W9" i="16"/>
  <c r="X9" i="16" s="1"/>
  <c r="Y9" i="16" s="1"/>
  <c r="AO11" i="16"/>
  <c r="AO10" i="16"/>
  <c r="AO9" i="16"/>
  <c r="AI6" i="16"/>
  <c r="Q8" i="16"/>
  <c r="R8" i="16" s="1"/>
  <c r="S8" i="16" s="1"/>
  <c r="AO7" i="16"/>
  <c r="W6" i="16"/>
  <c r="X6" i="16" s="1"/>
  <c r="Y6" i="16" s="1"/>
  <c r="K8" i="16"/>
  <c r="L8" i="16" s="1"/>
  <c r="M8" i="16" s="1"/>
  <c r="E6" i="16"/>
  <c r="F6" i="16" s="1"/>
  <c r="G6" i="16" s="1"/>
  <c r="Q6" i="16"/>
  <c r="R6" i="16" s="1"/>
  <c r="S6" i="16" s="1"/>
  <c r="K9" i="16"/>
  <c r="L9" i="16" s="1"/>
  <c r="M9" i="16" s="1"/>
  <c r="Y26" i="17"/>
  <c r="H13" i="18"/>
  <c r="Y24" i="17"/>
  <c r="H11" i="18"/>
  <c r="Y29" i="17"/>
  <c r="H16" i="18"/>
  <c r="Y30" i="17"/>
  <c r="H17" i="18"/>
  <c r="Y27" i="17"/>
  <c r="H14" i="18"/>
  <c r="Y28" i="17"/>
  <c r="H15" i="18"/>
  <c r="Y25" i="17"/>
  <c r="H12" i="18"/>
  <c r="O13" i="16"/>
  <c r="P13" i="16" s="1"/>
  <c r="H8" i="16"/>
  <c r="I8" i="16" s="1"/>
  <c r="J8" i="16" s="1"/>
  <c r="R12" i="16"/>
  <c r="S12" i="16" s="1"/>
  <c r="L12" i="16"/>
  <c r="M12" i="16" s="1"/>
  <c r="I13" i="16"/>
  <c r="J13" i="16" s="1"/>
  <c r="Z9" i="16"/>
  <c r="AA9" i="16" s="1"/>
  <c r="AB9" i="16" s="1"/>
  <c r="Z10" i="16"/>
  <c r="AA10" i="16" s="1"/>
  <c r="AB10" i="16" s="1"/>
  <c r="L13" i="16"/>
  <c r="M13" i="16" s="1"/>
  <c r="I12" i="16"/>
  <c r="J12" i="16" s="1"/>
  <c r="I14" i="16"/>
  <c r="J14" i="16" s="1"/>
  <c r="T9" i="16"/>
  <c r="U9" i="16" s="1"/>
  <c r="V9" i="16" s="1"/>
  <c r="U14" i="16"/>
  <c r="V14" i="16" s="1"/>
  <c r="X13" i="16"/>
  <c r="Y13" i="16" s="1"/>
  <c r="F12" i="16"/>
  <c r="G12" i="16" s="1"/>
  <c r="L14" i="16"/>
  <c r="M14" i="16" s="1"/>
  <c r="R13" i="16"/>
  <c r="S13" i="16" s="1"/>
  <c r="AD12" i="16"/>
  <c r="AE12" i="16" s="1"/>
  <c r="U13" i="16"/>
  <c r="V13" i="16" s="1"/>
  <c r="X12" i="16"/>
  <c r="Y12" i="16" s="1"/>
  <c r="AN110" i="15"/>
  <c r="AS110" i="15"/>
  <c r="T5" i="16"/>
  <c r="AI110" i="15"/>
  <c r="AP110" i="15"/>
  <c r="AF110" i="15"/>
  <c r="N5" i="16"/>
  <c r="N7" i="16"/>
  <c r="O7" i="16" s="1"/>
  <c r="P7" i="16" s="1"/>
  <c r="AD10" i="16"/>
  <c r="AE10" i="16" s="1"/>
  <c r="H11" i="16"/>
  <c r="I11" i="16" s="1"/>
  <c r="J11" i="16" s="1"/>
  <c r="Z6" i="16"/>
  <c r="AA6" i="16" s="1"/>
  <c r="AB6" i="16" s="1"/>
  <c r="AD11" i="16"/>
  <c r="AE11" i="16" s="1"/>
  <c r="AD15" i="16"/>
  <c r="AE15" i="16" s="1"/>
  <c r="AD14" i="16"/>
  <c r="AE14" i="16" s="1"/>
  <c r="AD13" i="16"/>
  <c r="AE13" i="16" s="1"/>
  <c r="O12" i="16"/>
  <c r="P12" i="16" s="1"/>
  <c r="U12" i="16"/>
  <c r="V12" i="16" s="1"/>
  <c r="AA12" i="16"/>
  <c r="AB12" i="16" s="1"/>
  <c r="H9" i="16"/>
  <c r="I9" i="16" s="1"/>
  <c r="J9" i="16" s="1"/>
  <c r="X11" i="16"/>
  <c r="Y11" i="16" s="1"/>
  <c r="AB110" i="15"/>
  <c r="Z7" i="16"/>
  <c r="AA7" i="16" s="1"/>
  <c r="AB7" i="16" s="1"/>
  <c r="AK110" i="15"/>
  <c r="R11" i="16"/>
  <c r="S11" i="16" s="1"/>
  <c r="T7" i="16"/>
  <c r="U7" i="16" s="1"/>
  <c r="V7" i="16" s="1"/>
  <c r="AH110" i="15"/>
  <c r="L11" i="16"/>
  <c r="M11" i="16" s="1"/>
  <c r="N10" i="16"/>
  <c r="O10" i="16" s="1"/>
  <c r="P10" i="16" s="1"/>
  <c r="N11" i="16"/>
  <c r="O11" i="16" s="1"/>
  <c r="P11" i="16" s="1"/>
  <c r="Z5" i="16"/>
  <c r="AL110" i="15"/>
  <c r="AV110" i="15"/>
  <c r="AJ110" i="15"/>
  <c r="T8" i="16"/>
  <c r="U8" i="16" s="1"/>
  <c r="V8" i="16" s="1"/>
  <c r="AG110" i="15"/>
  <c r="N8" i="16"/>
  <c r="O8" i="16" s="1"/>
  <c r="P8" i="16" s="1"/>
  <c r="AD110" i="15"/>
  <c r="AE110" i="15"/>
  <c r="N9" i="16"/>
  <c r="O9" i="16" s="1"/>
  <c r="P9" i="16" s="1"/>
  <c r="Z8" i="16"/>
  <c r="AA8" i="16" s="1"/>
  <c r="AB8" i="16" s="1"/>
  <c r="N6" i="16"/>
  <c r="O6" i="16" s="1"/>
  <c r="P6" i="16" s="1"/>
  <c r="H6" i="16"/>
  <c r="I6" i="16" s="1"/>
  <c r="J6" i="16" s="1"/>
  <c r="Z11" i="16"/>
  <c r="AA11" i="16" s="1"/>
  <c r="AB11" i="16" s="1"/>
  <c r="H7" i="16"/>
  <c r="I7" i="16" s="1"/>
  <c r="J7" i="16" s="1"/>
  <c r="T11" i="16"/>
  <c r="U11" i="16" s="1"/>
  <c r="V11" i="16" s="1"/>
  <c r="H5" i="16"/>
  <c r="AC110" i="15"/>
  <c r="AM110" i="15"/>
  <c r="T6" i="16"/>
  <c r="U6" i="16" s="1"/>
  <c r="V6" i="16" s="1"/>
  <c r="AA14" i="16"/>
  <c r="AB14" i="16" s="1"/>
  <c r="F14" i="16"/>
  <c r="G14" i="16" s="1"/>
  <c r="F13" i="16"/>
  <c r="G13" i="16" s="1"/>
  <c r="T10" i="16"/>
  <c r="U10" i="16" s="1"/>
  <c r="V10" i="16" s="1"/>
  <c r="AA13" i="16"/>
  <c r="AB13" i="16" s="1"/>
  <c r="AR7" i="16"/>
  <c r="AS7" i="16" s="1"/>
  <c r="AT7" i="16" s="1"/>
  <c r="AF6" i="16"/>
  <c r="AG6" i="16" s="1"/>
  <c r="AH6" i="16" s="1"/>
  <c r="I10" i="16"/>
  <c r="J10" i="16" s="1"/>
  <c r="H68" i="8"/>
  <c r="H70" i="8" s="1"/>
  <c r="B82" i="17" l="1"/>
  <c r="BE5" i="16"/>
  <c r="BF5" i="16" s="1"/>
  <c r="B83" i="17"/>
  <c r="BK5" i="16"/>
  <c r="BL5" i="16" s="1"/>
  <c r="B56" i="17"/>
  <c r="BH5" i="16"/>
  <c r="BI5" i="16" s="1"/>
  <c r="B55" i="17"/>
  <c r="BB5" i="16"/>
  <c r="BC5" i="16" s="1"/>
  <c r="F8" i="17"/>
  <c r="F7" i="17"/>
  <c r="G7" i="17" s="1"/>
  <c r="H7" i="17" s="1"/>
  <c r="G40" i="17"/>
  <c r="F41" i="17"/>
  <c r="L35" i="17"/>
  <c r="I36" i="17"/>
  <c r="I35" i="17"/>
  <c r="G36" i="17"/>
  <c r="G35" i="17"/>
  <c r="G39" i="17"/>
  <c r="H37" i="17"/>
  <c r="G38" i="17"/>
  <c r="G41" i="17"/>
  <c r="K35" i="17"/>
  <c r="F40" i="17"/>
  <c r="J35" i="17"/>
  <c r="H40" i="17"/>
  <c r="H36" i="17"/>
  <c r="H35" i="17"/>
  <c r="I37" i="17"/>
  <c r="H38" i="17"/>
  <c r="G37" i="17"/>
  <c r="F38" i="17"/>
  <c r="F35" i="17"/>
  <c r="F36" i="17"/>
  <c r="F39" i="17"/>
  <c r="F9" i="17"/>
  <c r="G9" i="17" s="1"/>
  <c r="H9" i="17" s="1"/>
  <c r="F10" i="17"/>
  <c r="G10" i="17" s="1"/>
  <c r="H10" i="17" s="1"/>
  <c r="F11" i="17"/>
  <c r="F6" i="17"/>
  <c r="G6" i="17" s="1"/>
  <c r="H6" i="17" s="1"/>
  <c r="K6" i="17"/>
  <c r="L6" i="17" s="1"/>
  <c r="M6" i="17" s="1"/>
  <c r="B74" i="17"/>
  <c r="K9" i="17"/>
  <c r="L9" i="17" s="1"/>
  <c r="M9" i="17" s="1"/>
  <c r="B77" i="17"/>
  <c r="K7" i="17"/>
  <c r="L7" i="17" s="1"/>
  <c r="M7" i="17" s="1"/>
  <c r="B75" i="17"/>
  <c r="K8" i="17"/>
  <c r="L8" i="17" s="1"/>
  <c r="M8" i="17" s="1"/>
  <c r="B76" i="17"/>
  <c r="G12" i="18"/>
  <c r="I12" i="18"/>
  <c r="I17" i="18"/>
  <c r="G17" i="18"/>
  <c r="G11" i="18"/>
  <c r="I11" i="18"/>
  <c r="G15" i="18"/>
  <c r="I15" i="18"/>
  <c r="G14" i="18"/>
  <c r="I14" i="18"/>
  <c r="G16" i="18"/>
  <c r="I16" i="18"/>
  <c r="I13" i="18"/>
  <c r="G13" i="18"/>
  <c r="H71" i="8"/>
  <c r="H72" i="8" s="1"/>
  <c r="AF9" i="16"/>
  <c r="AG9" i="16" s="1"/>
  <c r="AH9" i="16" s="1"/>
  <c r="AO110" i="15"/>
  <c r="AF7" i="16"/>
  <c r="AG7" i="16" s="1"/>
  <c r="AH7" i="16" s="1"/>
  <c r="AJ6" i="16"/>
  <c r="AK6" i="16" s="1"/>
  <c r="AL10" i="16"/>
  <c r="AM10" i="16" s="1"/>
  <c r="AN10" i="16" s="1"/>
  <c r="AL7" i="16"/>
  <c r="AM7" i="16" s="1"/>
  <c r="AN7" i="16" s="1"/>
  <c r="AR110" i="15"/>
  <c r="AU110" i="15"/>
  <c r="AP11" i="16"/>
  <c r="AQ11" i="16" s="1"/>
  <c r="AP10" i="16"/>
  <c r="AQ10" i="16" s="1"/>
  <c r="AP9" i="16"/>
  <c r="AQ9" i="16" s="1"/>
  <c r="AP8" i="16"/>
  <c r="AQ8" i="16" s="1"/>
  <c r="AR6" i="16"/>
  <c r="AS6" i="16" s="1"/>
  <c r="AT6" i="16" s="1"/>
  <c r="AP7" i="16"/>
  <c r="AQ7" i="16" s="1"/>
  <c r="AL5" i="16"/>
  <c r="AR5" i="16"/>
  <c r="B80" i="17" s="1"/>
  <c r="AL6" i="16"/>
  <c r="AM6" i="16" s="1"/>
  <c r="AN6" i="16" s="1"/>
  <c r="AF11" i="16"/>
  <c r="AG11" i="16" s="1"/>
  <c r="AH11" i="16" s="1"/>
  <c r="AL9" i="16"/>
  <c r="AM9" i="16" s="1"/>
  <c r="AN9" i="16" s="1"/>
  <c r="AF10" i="16"/>
  <c r="AG10" i="16" s="1"/>
  <c r="AH10" i="16" s="1"/>
  <c r="AT110" i="15"/>
  <c r="AF5" i="16"/>
  <c r="B78" i="17" s="1"/>
  <c r="AL11" i="16"/>
  <c r="AM11" i="16" s="1"/>
  <c r="AN11" i="16" s="1"/>
  <c r="AJ7" i="16"/>
  <c r="AK7" i="16" s="1"/>
  <c r="AJ11" i="16"/>
  <c r="AK11" i="16" s="1"/>
  <c r="AJ10" i="16"/>
  <c r="AK10" i="16" s="1"/>
  <c r="AF8" i="16"/>
  <c r="AG8" i="16" s="1"/>
  <c r="AH8" i="16" s="1"/>
  <c r="AQ110" i="15"/>
  <c r="F12" i="17"/>
  <c r="AJ8" i="16"/>
  <c r="AK8" i="16" s="1"/>
  <c r="AL8" i="16"/>
  <c r="AM8" i="16" s="1"/>
  <c r="AN8" i="16" s="1"/>
  <c r="AR11" i="16"/>
  <c r="AS11" i="16" s="1"/>
  <c r="AT11" i="16" s="1"/>
  <c r="AR10" i="16"/>
  <c r="AS10" i="16" s="1"/>
  <c r="AT10" i="16" s="1"/>
  <c r="AR9" i="16"/>
  <c r="AS9" i="16" s="1"/>
  <c r="AT9" i="16" s="1"/>
  <c r="AR8" i="16"/>
  <c r="AS8" i="16" s="1"/>
  <c r="AT8" i="16" s="1"/>
  <c r="AJ5" i="16"/>
  <c r="AK5" i="16" s="1"/>
  <c r="AA5" i="16"/>
  <c r="AB5" i="16" s="1"/>
  <c r="R5" i="16"/>
  <c r="S5" i="16" s="1"/>
  <c r="G8" i="17"/>
  <c r="H8" i="17" s="1"/>
  <c r="F5" i="16"/>
  <c r="G5" i="16" s="1"/>
  <c r="L5" i="16"/>
  <c r="M5" i="16" s="1"/>
  <c r="U5" i="16"/>
  <c r="V5" i="16" s="1"/>
  <c r="AD5" i="16"/>
  <c r="AE5" i="16" s="1"/>
  <c r="O5" i="16"/>
  <c r="P5" i="16" s="1"/>
  <c r="X5" i="16"/>
  <c r="Y5" i="16" s="1"/>
  <c r="I5" i="16"/>
  <c r="J5" i="16" s="1"/>
  <c r="H69" i="17" l="1"/>
  <c r="H70" i="17"/>
  <c r="H71" i="17"/>
  <c r="I69" i="17"/>
  <c r="I70" i="17"/>
  <c r="F73" i="17"/>
  <c r="G75" i="17"/>
  <c r="L69" i="17"/>
  <c r="L70" i="17"/>
  <c r="H74" i="17"/>
  <c r="I73" i="17"/>
  <c r="G69" i="17"/>
  <c r="G70" i="17"/>
  <c r="G71" i="17"/>
  <c r="G72" i="17"/>
  <c r="F70" i="17"/>
  <c r="F71" i="17"/>
  <c r="F72" i="17"/>
  <c r="F69" i="17"/>
  <c r="G73" i="17"/>
  <c r="F74" i="17"/>
  <c r="J70" i="17"/>
  <c r="J69" i="17"/>
  <c r="X21" i="17"/>
  <c r="Y21" i="17" s="1"/>
  <c r="X20" i="17"/>
  <c r="Y20" i="17" s="1"/>
  <c r="X23" i="17"/>
  <c r="X22" i="17"/>
  <c r="K11" i="17"/>
  <c r="L11" i="17" s="1"/>
  <c r="M11" i="17" s="1"/>
  <c r="B79" i="17"/>
  <c r="C3" i="8"/>
  <c r="AP5" i="16"/>
  <c r="AQ5" i="16" s="1"/>
  <c r="AS5" i="16"/>
  <c r="AT5" i="16" s="1"/>
  <c r="K12" i="17"/>
  <c r="L12" i="17" s="1"/>
  <c r="M12" i="17" s="1"/>
  <c r="AG5" i="16"/>
  <c r="AH5" i="16" s="1"/>
  <c r="K10" i="17"/>
  <c r="L10" i="17" s="1"/>
  <c r="M10" i="17" s="1"/>
  <c r="AB112" i="15" a="1"/>
  <c r="AB112" i="15" s="1"/>
  <c r="D113" i="15" s="1"/>
  <c r="AB114" i="15" a="1"/>
  <c r="AB114" i="15" s="1"/>
  <c r="D115" i="15" s="1"/>
  <c r="AB113" i="15" a="1"/>
  <c r="AB113" i="15" s="1"/>
  <c r="D114" i="15" s="1"/>
  <c r="G11" i="17"/>
  <c r="H11" i="17" s="1"/>
  <c r="AM5" i="16"/>
  <c r="AN5" i="16" s="1"/>
  <c r="G12" i="17"/>
  <c r="H12" i="17" s="1"/>
  <c r="K69" i="17" l="1"/>
  <c r="W52" i="17" s="1"/>
  <c r="X52" i="17" s="1"/>
  <c r="H22" i="18" s="1"/>
  <c r="K70" i="17"/>
  <c r="W53" i="17" s="1"/>
  <c r="X53" i="17" s="1"/>
  <c r="H23" i="18" s="1"/>
  <c r="G74" i="17"/>
  <c r="W57" i="17" s="1"/>
  <c r="X57" i="17" s="1"/>
  <c r="H27" i="18" s="1"/>
  <c r="H73" i="17"/>
  <c r="W56" i="17" s="1"/>
  <c r="X56" i="17" s="1"/>
  <c r="H26" i="18" s="1"/>
  <c r="F75" i="17"/>
  <c r="W58" i="17" s="1"/>
  <c r="X58" i="17" s="1"/>
  <c r="H28" i="18" s="1"/>
  <c r="H8" i="18"/>
  <c r="G8" i="18" s="1"/>
  <c r="H7" i="18"/>
  <c r="G7" i="18" s="1"/>
  <c r="W55" i="17"/>
  <c r="X55" i="17" s="1"/>
  <c r="H25" i="18" s="1"/>
  <c r="I25" i="18" s="1"/>
  <c r="W54" i="17"/>
  <c r="X54" i="17" s="1"/>
  <c r="H24" i="18" s="1"/>
  <c r="H9" i="18"/>
  <c r="Y22" i="17"/>
  <c r="Y23" i="17"/>
  <c r="H10" i="18"/>
  <c r="AU19" i="16"/>
  <c r="AV19" i="16" s="1"/>
  <c r="AW19" i="16" s="1"/>
  <c r="AU38" i="16"/>
  <c r="AV38" i="16" s="1"/>
  <c r="AW38" i="16" s="1"/>
  <c r="AU42" i="16"/>
  <c r="AV42" i="16" s="1"/>
  <c r="AW42" i="16" s="1"/>
  <c r="AU14" i="16"/>
  <c r="AV14" i="16" s="1"/>
  <c r="AW14" i="16" s="1"/>
  <c r="AU44" i="16"/>
  <c r="AV44" i="16" s="1"/>
  <c r="AW44" i="16" s="1"/>
  <c r="AU28" i="16"/>
  <c r="AV28" i="16" s="1"/>
  <c r="AW28" i="16" s="1"/>
  <c r="AU12" i="16"/>
  <c r="AV12" i="16" s="1"/>
  <c r="AW12" i="16" s="1"/>
  <c r="AU31" i="16"/>
  <c r="AV31" i="16" s="1"/>
  <c r="AW31" i="16" s="1"/>
  <c r="AU45" i="16"/>
  <c r="AV45" i="16" s="1"/>
  <c r="AW45" i="16" s="1"/>
  <c r="AU29" i="16"/>
  <c r="AV29" i="16" s="1"/>
  <c r="AW29" i="16" s="1"/>
  <c r="AU13" i="16"/>
  <c r="AV13" i="16" s="1"/>
  <c r="AW13" i="16" s="1"/>
  <c r="AU27" i="16"/>
  <c r="AV27" i="16" s="1"/>
  <c r="AW27" i="16" s="1"/>
  <c r="AU30" i="16"/>
  <c r="AV30" i="16" s="1"/>
  <c r="AW30" i="16" s="1"/>
  <c r="AU11" i="16"/>
  <c r="AV11" i="16" s="1"/>
  <c r="AW11" i="16" s="1"/>
  <c r="AU34" i="16"/>
  <c r="AV34" i="16" s="1"/>
  <c r="AW34" i="16" s="1"/>
  <c r="AU40" i="16"/>
  <c r="AV40" i="16" s="1"/>
  <c r="AW40" i="16" s="1"/>
  <c r="AU24" i="16"/>
  <c r="AV24" i="16" s="1"/>
  <c r="AW24" i="16" s="1"/>
  <c r="AU22" i="16"/>
  <c r="AV22" i="16" s="1"/>
  <c r="AW22" i="16" s="1"/>
  <c r="AU35" i="16"/>
  <c r="AV35" i="16" s="1"/>
  <c r="AW35" i="16" s="1"/>
  <c r="AU26" i="16"/>
  <c r="AV26" i="16" s="1"/>
  <c r="AW26" i="16" s="1"/>
  <c r="AU36" i="16"/>
  <c r="AV36" i="16" s="1"/>
  <c r="AW36" i="16" s="1"/>
  <c r="AU20" i="16"/>
  <c r="AV20" i="16" s="1"/>
  <c r="AW20" i="16" s="1"/>
  <c r="AU43" i="16"/>
  <c r="AV43" i="16" s="1"/>
  <c r="AW43" i="16" s="1"/>
  <c r="AU23" i="16"/>
  <c r="AV23" i="16" s="1"/>
  <c r="AW23" i="16" s="1"/>
  <c r="AU37" i="16"/>
  <c r="AV37" i="16" s="1"/>
  <c r="AW37" i="16" s="1"/>
  <c r="AU21" i="16"/>
  <c r="AV21" i="16" s="1"/>
  <c r="AW21" i="16" s="1"/>
  <c r="AU18" i="16"/>
  <c r="AV18" i="16" s="1"/>
  <c r="AW18" i="16" s="1"/>
  <c r="AU32" i="16"/>
  <c r="AV32" i="16" s="1"/>
  <c r="AW32" i="16" s="1"/>
  <c r="AU16" i="16"/>
  <c r="AV16" i="16" s="1"/>
  <c r="AW16" i="16" s="1"/>
  <c r="AU39" i="16"/>
  <c r="AV39" i="16" s="1"/>
  <c r="AW39" i="16" s="1"/>
  <c r="AU15" i="16"/>
  <c r="AV15" i="16" s="1"/>
  <c r="AW15" i="16" s="1"/>
  <c r="AU33" i="16"/>
  <c r="AV33" i="16" s="1"/>
  <c r="AW33" i="16" s="1"/>
  <c r="AU17" i="16"/>
  <c r="AV17" i="16" s="1"/>
  <c r="AW17" i="16" s="1"/>
  <c r="AU41" i="16"/>
  <c r="AV41" i="16" s="1"/>
  <c r="AW41" i="16" s="1"/>
  <c r="AU25" i="16"/>
  <c r="AV25" i="16" s="1"/>
  <c r="AW25" i="16" s="1"/>
  <c r="AU5" i="16"/>
  <c r="AU6" i="16"/>
  <c r="AV6" i="16" s="1"/>
  <c r="AW6" i="16" s="1"/>
  <c r="AU8" i="16"/>
  <c r="AV8" i="16" s="1"/>
  <c r="AW8" i="16" s="1"/>
  <c r="AU7" i="16"/>
  <c r="AV7" i="16" s="1"/>
  <c r="AW7" i="16" s="1"/>
  <c r="AU10" i="16"/>
  <c r="AV10" i="16" s="1"/>
  <c r="AW10" i="16" s="1"/>
  <c r="AU9" i="16"/>
  <c r="AV9" i="16" s="1"/>
  <c r="AW9" i="16" s="1"/>
  <c r="I8" i="18" l="1"/>
  <c r="I7" i="18"/>
  <c r="Y55" i="17"/>
  <c r="G25" i="18"/>
  <c r="I23" i="18"/>
  <c r="G23" i="18"/>
  <c r="G26" i="18"/>
  <c r="I26" i="18"/>
  <c r="G28" i="18"/>
  <c r="I28" i="18"/>
  <c r="G22" i="18"/>
  <c r="I22" i="18"/>
  <c r="G24" i="18"/>
  <c r="I24" i="18"/>
  <c r="I27" i="18"/>
  <c r="G27" i="18"/>
  <c r="AV5" i="16"/>
  <c r="AW5" i="16" s="1"/>
  <c r="B54" i="17"/>
  <c r="F13" i="17"/>
  <c r="G13" i="17" s="1"/>
  <c r="H13" i="17" s="1"/>
  <c r="Y53" i="17"/>
  <c r="Y54" i="17"/>
  <c r="Y56" i="17"/>
  <c r="Y57" i="17"/>
  <c r="Y52" i="17"/>
  <c r="G10" i="18"/>
  <c r="I10" i="18"/>
  <c r="Y58" i="17"/>
  <c r="G9" i="18"/>
  <c r="I9" i="18"/>
  <c r="F37" i="17" l="1"/>
  <c r="X19" i="17" s="1"/>
  <c r="J36" i="17"/>
  <c r="X18" i="17" s="1"/>
  <c r="M35" i="17"/>
  <c r="X17" i="17" s="1"/>
  <c r="H6" i="18" l="1"/>
  <c r="Y19" i="17"/>
  <c r="Y17" i="17"/>
  <c r="H4" i="18"/>
  <c r="H5" i="18"/>
  <c r="Y18" i="17"/>
  <c r="I4" i="18" l="1"/>
  <c r="G4" i="18"/>
  <c r="I5" i="18"/>
  <c r="G5" i="18"/>
  <c r="I6" i="18"/>
  <c r="G6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<sst xmlns="http://schemas.openxmlformats.org/spreadsheetml/2006/main" count="1248" uniqueCount="287">
  <si>
    <t>GPM</t>
  </si>
  <si>
    <t>in</t>
  </si>
  <si>
    <t>Diam</t>
  </si>
  <si>
    <t>Total</t>
  </si>
  <si>
    <t>Qty</t>
  </si>
  <si>
    <t>Kitchen Sink</t>
  </si>
  <si>
    <t>Dishwasher</t>
  </si>
  <si>
    <t>Clothes washer</t>
  </si>
  <si>
    <t>Hose Bib 1/2"</t>
  </si>
  <si>
    <t>Hose Bib 3/4"</t>
  </si>
  <si>
    <t>Janitor Sink</t>
  </si>
  <si>
    <t>Urinal</t>
  </si>
  <si>
    <t>WSFU</t>
  </si>
  <si>
    <t>PHASE 1</t>
  </si>
  <si>
    <t>Residential</t>
  </si>
  <si>
    <t>Plumbing Fixtures</t>
  </si>
  <si>
    <t>1/2 Washroom</t>
  </si>
  <si>
    <t>Full Washroom</t>
  </si>
  <si>
    <t>Kitchen</t>
  </si>
  <si>
    <t>Common</t>
  </si>
  <si>
    <t>Hand Sink</t>
  </si>
  <si>
    <t>Sink #8</t>
  </si>
  <si>
    <t>Scullery #10</t>
  </si>
  <si>
    <t>Dishwasher #15</t>
  </si>
  <si>
    <t>Dishtable #16</t>
  </si>
  <si>
    <t>Sink #19</t>
  </si>
  <si>
    <t>Scullery #21</t>
  </si>
  <si>
    <t>Dispenser #31</t>
  </si>
  <si>
    <t>Sink #34</t>
  </si>
  <si>
    <t>Total PODs</t>
  </si>
  <si>
    <t>Total Common</t>
  </si>
  <si>
    <t>Total Kitchen</t>
  </si>
  <si>
    <t>FU</t>
  </si>
  <si>
    <r>
      <rPr>
        <b/>
        <u/>
        <sz val="12"/>
        <rFont val="Calibri"/>
        <family val="2"/>
      </rPr>
      <t>DOMESTIC WATER DEMAND</t>
    </r>
  </si>
  <si>
    <t xml:space="preserve">Maximum demand </t>
  </si>
  <si>
    <t>Diversity</t>
  </si>
  <si>
    <t xml:space="preserve">Calculated demand </t>
  </si>
  <si>
    <t>PSI</t>
  </si>
  <si>
    <t>Water supply flow</t>
  </si>
  <si>
    <t>Water supply pipe size</t>
  </si>
  <si>
    <t>Domestic water flow</t>
  </si>
  <si>
    <t>Domestic water required boost pressure</t>
  </si>
  <si>
    <t>Below Grade</t>
  </si>
  <si>
    <t>Above Grade</t>
  </si>
  <si>
    <t>G</t>
  </si>
  <si>
    <t>Description</t>
  </si>
  <si>
    <t>Elevation</t>
  </si>
  <si>
    <t>Notes</t>
  </si>
  <si>
    <t>20-Q061 331 COOPER</t>
  </si>
  <si>
    <t>TERRACE</t>
  </si>
  <si>
    <t>PENTHOUSE</t>
  </si>
  <si>
    <t>GROUND FLOOR</t>
  </si>
  <si>
    <t>ft</t>
  </si>
  <si>
    <t>m</t>
  </si>
  <si>
    <t>ROOF</t>
  </si>
  <si>
    <t># OF FLOORS</t>
  </si>
  <si>
    <t># OF UNITS</t>
  </si>
  <si>
    <t>Boundary Conditions (From Civil)</t>
  </si>
  <si>
    <t>Fixture type</t>
  </si>
  <si>
    <t>Qty.</t>
  </si>
  <si>
    <t>Total CWFU</t>
  </si>
  <si>
    <t>Total HWFU</t>
  </si>
  <si>
    <t>Total FU</t>
  </si>
  <si>
    <t>Units</t>
  </si>
  <si>
    <t>Clothes washer Private</t>
  </si>
  <si>
    <t>Clothes washer Public</t>
  </si>
  <si>
    <t>Cold Water</t>
  </si>
  <si>
    <t>Hot Water</t>
  </si>
  <si>
    <t>Pipe</t>
  </si>
  <si>
    <t>FCU</t>
  </si>
  <si>
    <t xml:space="preserve">GPM </t>
  </si>
  <si>
    <t>Riser 1</t>
  </si>
  <si>
    <t>Levels</t>
  </si>
  <si>
    <t>Riser 2</t>
  </si>
  <si>
    <t>Riser 3</t>
  </si>
  <si>
    <t>Riser 4</t>
  </si>
  <si>
    <t>Riser 5</t>
  </si>
  <si>
    <t>Riser 6</t>
  </si>
  <si>
    <t>Riser 7</t>
  </si>
  <si>
    <t>Riser 8</t>
  </si>
  <si>
    <t>Riser 9</t>
  </si>
  <si>
    <t>Riser 10</t>
  </si>
  <si>
    <t>Riser 11</t>
  </si>
  <si>
    <t>Riser 12</t>
  </si>
  <si>
    <t>Riser 13</t>
  </si>
  <si>
    <t>Riser 14</t>
  </si>
  <si>
    <t>A</t>
  </si>
  <si>
    <t>B</t>
  </si>
  <si>
    <t>C</t>
  </si>
  <si>
    <t>D</t>
  </si>
  <si>
    <t>E</t>
  </si>
  <si>
    <t>Bedroom</t>
  </si>
  <si>
    <t>Unit Type Reference</t>
  </si>
  <si>
    <t>Level 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</si>
  <si>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</si>
  <si>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</si>
  <si>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</si>
  <si>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</si>
  <si>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</si>
  <si>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</si>
  <si>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</si>
  <si>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</si>
  <si>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</si>
  <si>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11</t>
  </si>
  <si>
    <t>Level 12</t>
  </si>
  <si>
    <t>CWFU</t>
  </si>
  <si>
    <t>HWFU</t>
  </si>
  <si>
    <t>Sinks</t>
  </si>
  <si>
    <t>DCW 1</t>
  </si>
  <si>
    <t>DHW 2</t>
  </si>
  <si>
    <t>DHW 1</t>
  </si>
  <si>
    <t>DCW 2</t>
  </si>
  <si>
    <t>Totals</t>
  </si>
  <si>
    <t>DCW 3</t>
  </si>
  <si>
    <t>DHW 3</t>
  </si>
  <si>
    <t>DCW 4</t>
  </si>
  <si>
    <t>DHW 4</t>
  </si>
  <si>
    <t>DCW 5</t>
  </si>
  <si>
    <t>DHW 5</t>
  </si>
  <si>
    <t>DCW 6</t>
  </si>
  <si>
    <t>DHW 6</t>
  </si>
  <si>
    <t>DCW 7</t>
  </si>
  <si>
    <t>DHW 7</t>
  </si>
  <si>
    <t>DCW 8</t>
  </si>
  <si>
    <t>DHW 8</t>
  </si>
  <si>
    <t>Risers:</t>
  </si>
  <si>
    <t>Pipe Size</t>
  </si>
  <si>
    <t>Riser Loads</t>
  </si>
  <si>
    <t>Unit Types</t>
  </si>
  <si>
    <t>Riser Connections</t>
  </si>
  <si>
    <t>R1</t>
  </si>
  <si>
    <t>R2</t>
  </si>
  <si>
    <t>R3</t>
  </si>
  <si>
    <t>R4</t>
  </si>
  <si>
    <t>R5</t>
  </si>
  <si>
    <t>R6</t>
  </si>
  <si>
    <t>R7</t>
  </si>
  <si>
    <t>TOTALS</t>
  </si>
  <si>
    <t>CWFU:</t>
  </si>
  <si>
    <t>HWFU:</t>
  </si>
  <si>
    <t>FU:</t>
  </si>
  <si>
    <t>Section 1</t>
  </si>
  <si>
    <t>Section 2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</si>
  <si>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</si>
  <si>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</si>
  <si>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</si>
  <si>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</si>
  <si>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</si>
  <si>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</si>
  <si>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</si>
  <si>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</si>
  <si>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Section 11</t>
  </si>
  <si>
    <t>Section 12</t>
  </si>
  <si>
    <t>Section 13</t>
  </si>
  <si>
    <t>Section 14</t>
  </si>
  <si>
    <t>Section 15</t>
  </si>
  <si>
    <t>Code</t>
  </si>
  <si>
    <t>Value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</si>
  <si>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</si>
  <si>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</si>
  <si>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</si>
  <si>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</si>
  <si>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</si>
  <si>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</si>
  <si>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</si>
  <si>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</si>
  <si>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</si>
  <si>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</si>
  <si>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</si>
  <si>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</si>
  <si>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</si>
  <si>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</si>
  <si>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</si>
  <si>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</si>
  <si>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</si>
  <si>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</si>
  <si>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RISERS CONNECTED</t>
  </si>
  <si>
    <t>Level 13</t>
  </si>
  <si>
    <t>Level 14</t>
  </si>
  <si>
    <t>Level 15</t>
  </si>
  <si>
    <t>Level 16</t>
  </si>
  <si>
    <t>Level 17</t>
  </si>
  <si>
    <t>Level 18</t>
  </si>
  <si>
    <t>Level 19</t>
  </si>
  <si>
    <t>Level 20</t>
  </si>
  <si>
    <t>Level 21</t>
  </si>
  <si>
    <t>Level 22</t>
  </si>
  <si>
    <t>Level 23</t>
  </si>
  <si>
    <t>Level 24</t>
  </si>
  <si>
    <t>Level 25</t>
  </si>
  <si>
    <t>Level 26</t>
  </si>
  <si>
    <t>Level 27</t>
  </si>
  <si>
    <t>Level 28</t>
  </si>
  <si>
    <t>Level 29</t>
  </si>
  <si>
    <t>Level 30</t>
  </si>
  <si>
    <t>Level 31</t>
  </si>
  <si>
    <t>Level 32</t>
  </si>
  <si>
    <t>Level 33</t>
  </si>
  <si>
    <t>Level 34</t>
  </si>
  <si>
    <t>Level 35</t>
  </si>
  <si>
    <t>Level 36</t>
  </si>
  <si>
    <t>Level 37</t>
  </si>
  <si>
    <t>Level 38</t>
  </si>
  <si>
    <t>Level 39</t>
  </si>
  <si>
    <t>Level 40</t>
  </si>
  <si>
    <t>Level 41</t>
  </si>
  <si>
    <t>Level 42</t>
  </si>
  <si>
    <t>Fixture Units</t>
  </si>
  <si>
    <t>.</t>
  </si>
  <si>
    <t>From</t>
  </si>
  <si>
    <t>To</t>
  </si>
  <si>
    <t>Size</t>
  </si>
  <si>
    <t>Horizontal Piping (CW)</t>
  </si>
  <si>
    <t>WM</t>
  </si>
  <si>
    <t>COLD WATER RISERS CONNECTED (R#)</t>
  </si>
  <si>
    <t>Other Connections</t>
  </si>
  <si>
    <t>Riser 15</t>
  </si>
  <si>
    <t>Riser 16</t>
  </si>
  <si>
    <t>Riser 17</t>
  </si>
  <si>
    <t>Riser 18</t>
  </si>
  <si>
    <t>Riser 19</t>
  </si>
  <si>
    <t>Riser 20</t>
  </si>
  <si>
    <t>Riser 21</t>
  </si>
  <si>
    <t>F</t>
  </si>
  <si>
    <t>Clothes washer (Public)</t>
  </si>
  <si>
    <t>Hot Water Riser</t>
  </si>
  <si>
    <t>Riser #:</t>
  </si>
  <si>
    <t>HOT WATER RISERS CONNECTED (R#)</t>
  </si>
  <si>
    <t>HW DOWN DRAIN</t>
  </si>
  <si>
    <t>DHW8</t>
  </si>
  <si>
    <t>SPLIT</t>
  </si>
  <si>
    <t>DHW3</t>
  </si>
  <si>
    <t>DHW1</t>
  </si>
  <si>
    <t>DHW4</t>
  </si>
  <si>
    <t>DHW5</t>
  </si>
  <si>
    <t>DHW7</t>
  </si>
  <si>
    <t>Horizontal Piping (HW)</t>
  </si>
  <si>
    <t>Length</t>
  </si>
  <si>
    <t>Section #</t>
  </si>
  <si>
    <t>Section Letter</t>
  </si>
  <si>
    <t>H</t>
  </si>
  <si>
    <t>I</t>
  </si>
  <si>
    <t>J</t>
  </si>
  <si>
    <t>K</t>
  </si>
  <si>
    <t>L</t>
  </si>
  <si>
    <t>M</t>
  </si>
  <si>
    <t>N</t>
  </si>
  <si>
    <t>O</t>
  </si>
  <si>
    <t>Type</t>
  </si>
  <si>
    <t>Slope</t>
  </si>
  <si>
    <t>Water Closet</t>
  </si>
  <si>
    <t>Sink</t>
  </si>
  <si>
    <t>Shower</t>
  </si>
  <si>
    <t>3"</t>
  </si>
  <si>
    <t>4"</t>
  </si>
  <si>
    <t>5"</t>
  </si>
  <si>
    <t>6"</t>
  </si>
  <si>
    <t>8"</t>
  </si>
  <si>
    <t>10"</t>
  </si>
  <si>
    <t>12"</t>
  </si>
  <si>
    <t>15"</t>
  </si>
  <si>
    <t>1/32"</t>
  </si>
  <si>
    <t>1/16"</t>
  </si>
  <si>
    <t>5/64"</t>
  </si>
  <si>
    <t>1/8"</t>
  </si>
  <si>
    <t>1/4"</t>
  </si>
  <si>
    <t>1/2"</t>
  </si>
  <si>
    <t>Diameter</t>
  </si>
  <si>
    <t>Maximum Hydraulic Load (Dia. Vs. Slope)</t>
  </si>
  <si>
    <t>Max Hydrolic Load</t>
  </si>
  <si>
    <t>Max FU Drained per storey</t>
  </si>
  <si>
    <t>Lavatory</t>
  </si>
  <si>
    <t>Clothes Washer</t>
  </si>
  <si>
    <t>Clothes Washer (both types)</t>
  </si>
  <si>
    <t>Sanitary Vent Drains Connections</t>
  </si>
  <si>
    <t>VENT PIPES:</t>
  </si>
  <si>
    <t>Basement</t>
  </si>
  <si>
    <t>GF</t>
  </si>
  <si>
    <t>TOTALS:</t>
  </si>
  <si>
    <t>Total Fus</t>
  </si>
  <si>
    <t>Sanitary Drains Crossings</t>
  </si>
  <si>
    <t>Combined F.U.</t>
  </si>
  <si>
    <t>DCW F.U.</t>
  </si>
  <si>
    <t>DHW F.U.</t>
  </si>
  <si>
    <t>DCW
Total</t>
  </si>
  <si>
    <t>DHW
Total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</si>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</sst>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###0;###0"/>
    <numFmt numFmtId="166" formatCode="#,##0;#,##0"/>
    <numFmt numFmtId="167" formatCode="#,##0.0;#,##0.0"/>
    <numFmt numFmtId="168" formatCode="###0.0;###0.0"/>
    <numFmt numFmtId="169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Times New Roman"/>
      <family val="1"/>
    </font>
    <font>
      <sz val="10"/>
      <color rgb="FF000000"/>
      <name val="Calibri"/>
      <family val="2"/>
    </font>
    <font>
      <b/>
      <sz val="12"/>
      <name val="Calibri"/>
      <family val="2"/>
    </font>
    <font>
      <b/>
      <sz val="12"/>
      <color rgb="FF000000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0"/>
      <color theme="1"/>
      <name val="Calibri"/>
      <family val="2"/>
    </font>
    <font>
      <b/>
      <sz val="10"/>
      <color rgb="FF000000"/>
      <name val="Calibri"/>
      <family val="2"/>
    </font>
    <font>
      <b/>
      <u/>
      <sz val="12"/>
      <name val="Calibri"/>
      <family val="2"/>
    </font>
    <font>
      <b/>
      <sz val="22"/>
      <color rgb="FF000000"/>
      <name val="Calibri"/>
      <family val="2"/>
    </font>
    <font>
      <b/>
      <sz val="18"/>
      <name val="Calibri"/>
      <family val="2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5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ck">
        <color theme="4" tint="0.499984740745262"/>
      </top>
      <bottom/>
      <diagonal/>
    </border>
    <border>
      <left style="medium">
        <color indexed="64"/>
      </left>
      <right/>
      <top style="medium">
        <color indexed="64"/>
      </top>
      <bottom style="thick">
        <color theme="4" tint="0.499984740745262"/>
      </bottom>
      <diagonal/>
    </border>
    <border>
      <left/>
      <right/>
      <top style="medium">
        <color indexed="64"/>
      </top>
      <bottom style="thick">
        <color theme="4" tint="0.499984740745262"/>
      </bottom>
      <diagonal/>
    </border>
    <border>
      <left/>
      <right style="medium">
        <color indexed="64"/>
      </right>
      <top style="medium">
        <color indexed="64"/>
      </top>
      <bottom style="thick">
        <color theme="4" tint="0.499984740745262"/>
      </bottom>
      <diagonal/>
    </border>
    <border>
      <left style="medium">
        <color indexed="64"/>
      </left>
      <right/>
      <top style="thick">
        <color theme="4" tint="0.499984740745262"/>
      </top>
      <bottom/>
      <diagonal/>
    </border>
    <border>
      <left/>
      <right style="medium">
        <color indexed="64"/>
      </right>
      <top style="thick">
        <color theme="4" tint="0.499984740745262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theme="4" tint="0.39997558519241921"/>
      </top>
      <bottom/>
      <diagonal/>
    </border>
    <border>
      <left/>
      <right/>
      <top style="medium">
        <color theme="4" tint="0.39997558519241921"/>
      </top>
      <bottom/>
      <diagonal/>
    </border>
    <border>
      <left/>
      <right style="thin">
        <color indexed="64"/>
      </right>
      <top style="medium">
        <color theme="4" tint="0.3999755851924192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theme="4" tint="0.39997558519241921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" fillId="0" borderId="0"/>
    <xf numFmtId="0" fontId="14" fillId="0" borderId="0" applyNumberFormat="0" applyFill="0" applyBorder="0" applyAlignment="0" applyProtection="0"/>
    <xf numFmtId="0" fontId="15" fillId="0" borderId="17" applyNumberFormat="0" applyFill="0" applyAlignment="0" applyProtection="0"/>
    <xf numFmtId="0" fontId="16" fillId="0" borderId="0" applyNumberFormat="0" applyFill="0" applyBorder="0" applyAlignment="0" applyProtection="0"/>
    <xf numFmtId="0" fontId="17" fillId="5" borderId="18" applyNumberFormat="0" applyAlignment="0" applyProtection="0"/>
    <xf numFmtId="0" fontId="18" fillId="0" borderId="19" applyNumberFormat="0" applyFill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6" fillId="0" borderId="21" applyNumberFormat="0" applyFill="0" applyAlignment="0" applyProtection="0"/>
    <xf numFmtId="0" fontId="21" fillId="10" borderId="22" applyNumberFormat="0" applyAlignment="0" applyProtection="0"/>
    <xf numFmtId="0" fontId="22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</cellStyleXfs>
  <cellXfs count="303">
    <xf numFmtId="0" fontId="0" fillId="0" borderId="0" xfId="0"/>
    <xf numFmtId="0" fontId="4" fillId="0" borderId="0" xfId="4" applyFont="1" applyAlignment="1">
      <alignment horizontal="left" vertical="top"/>
    </xf>
    <xf numFmtId="0" fontId="4" fillId="0" borderId="0" xfId="4" applyFont="1" applyAlignment="1">
      <alignment horizontal="center" vertical="top"/>
    </xf>
    <xf numFmtId="0" fontId="7" fillId="0" borderId="0" xfId="4" applyFont="1" applyAlignment="1">
      <alignment horizontal="left" vertical="top"/>
    </xf>
    <xf numFmtId="0" fontId="8" fillId="0" borderId="0" xfId="4" applyFont="1" applyAlignment="1">
      <alignment horizontal="left" vertical="top"/>
    </xf>
    <xf numFmtId="0" fontId="9" fillId="0" borderId="1" xfId="0" applyFont="1" applyBorder="1" applyAlignment="1">
      <alignment horizontal="center"/>
    </xf>
    <xf numFmtId="168" fontId="4" fillId="0" borderId="1" xfId="4" applyNumberFormat="1" applyFont="1" applyBorder="1" applyAlignment="1">
      <alignment horizontal="center" vertical="top" wrapText="1"/>
    </xf>
    <xf numFmtId="167" fontId="4" fillId="0" borderId="1" xfId="4" applyNumberFormat="1" applyFont="1" applyBorder="1" applyAlignment="1">
      <alignment horizontal="center" vertical="top" wrapText="1"/>
    </xf>
    <xf numFmtId="164" fontId="4" fillId="0" borderId="1" xfId="4" applyNumberFormat="1" applyFont="1" applyBorder="1" applyAlignment="1">
      <alignment horizontal="center" vertical="top" wrapText="1"/>
    </xf>
    <xf numFmtId="0" fontId="7" fillId="0" borderId="5" xfId="4" applyFont="1" applyBorder="1" applyAlignment="1">
      <alignment horizontal="left" vertical="top" wrapText="1"/>
    </xf>
    <xf numFmtId="0" fontId="4" fillId="0" borderId="6" xfId="4" applyFont="1" applyBorder="1" applyAlignment="1">
      <alignment horizontal="center" vertical="top" wrapText="1"/>
    </xf>
    <xf numFmtId="0" fontId="4" fillId="0" borderId="5" xfId="4" applyFont="1" applyBorder="1" applyAlignment="1">
      <alignment horizontal="left" vertical="top"/>
    </xf>
    <xf numFmtId="0" fontId="8" fillId="3" borderId="7" xfId="4" applyFont="1" applyFill="1" applyBorder="1" applyAlignment="1">
      <alignment horizontal="left" vertical="top" wrapText="1"/>
    </xf>
    <xf numFmtId="0" fontId="8" fillId="2" borderId="2" xfId="4" applyFont="1" applyFill="1" applyBorder="1" applyAlignment="1">
      <alignment vertical="top" wrapText="1"/>
    </xf>
    <xf numFmtId="0" fontId="8" fillId="2" borderId="3" xfId="4" applyFont="1" applyFill="1" applyBorder="1" applyAlignment="1">
      <alignment vertical="top" wrapText="1"/>
    </xf>
    <xf numFmtId="0" fontId="8" fillId="2" borderId="4" xfId="4" applyFont="1" applyFill="1" applyBorder="1" applyAlignment="1">
      <alignment vertical="top" wrapText="1"/>
    </xf>
    <xf numFmtId="0" fontId="8" fillId="3" borderId="9" xfId="4" applyFont="1" applyFill="1" applyBorder="1" applyAlignment="1">
      <alignment horizontal="center" vertical="top" wrapText="1"/>
    </xf>
    <xf numFmtId="0" fontId="10" fillId="0" borderId="7" xfId="4" applyFont="1" applyBorder="1" applyAlignment="1">
      <alignment horizontal="right" vertical="top"/>
    </xf>
    <xf numFmtId="0" fontId="10" fillId="0" borderId="9" xfId="4" applyFont="1" applyBorder="1" applyAlignment="1">
      <alignment horizontal="center" vertical="top"/>
    </xf>
    <xf numFmtId="0" fontId="8" fillId="3" borderId="8" xfId="4" applyFont="1" applyFill="1" applyBorder="1" applyAlignment="1">
      <alignment horizontal="center" vertical="center" wrapText="1"/>
    </xf>
    <xf numFmtId="165" fontId="4" fillId="0" borderId="1" xfId="4" applyNumberFormat="1" applyFont="1" applyBorder="1" applyAlignment="1">
      <alignment horizontal="center" vertical="center" wrapText="1"/>
    </xf>
    <xf numFmtId="166" fontId="4" fillId="0" borderId="1" xfId="4" applyNumberFormat="1" applyFont="1" applyBorder="1" applyAlignment="1">
      <alignment horizontal="center" vertical="center" wrapText="1"/>
    </xf>
    <xf numFmtId="1" fontId="4" fillId="0" borderId="1" xfId="4" applyNumberFormat="1" applyFont="1" applyBorder="1" applyAlignment="1">
      <alignment horizontal="center" vertical="center" wrapText="1"/>
    </xf>
    <xf numFmtId="0" fontId="4" fillId="0" borderId="0" xfId="4" applyFont="1" applyAlignment="1">
      <alignment horizontal="center" vertical="center"/>
    </xf>
    <xf numFmtId="0" fontId="8" fillId="2" borderId="3" xfId="4" applyFont="1" applyFill="1" applyBorder="1" applyAlignment="1">
      <alignment horizontal="center" vertical="center" wrapText="1"/>
    </xf>
    <xf numFmtId="0" fontId="4" fillId="0" borderId="8" xfId="4" applyFont="1" applyBorder="1" applyAlignment="1">
      <alignment horizontal="center" vertical="center"/>
    </xf>
    <xf numFmtId="0" fontId="4" fillId="0" borderId="1" xfId="4" applyFont="1" applyBorder="1" applyAlignment="1">
      <alignment horizontal="center" vertical="center"/>
    </xf>
    <xf numFmtId="0" fontId="8" fillId="3" borderId="15" xfId="4" applyFont="1" applyFill="1" applyBorder="1" applyAlignment="1">
      <alignment horizontal="left" vertical="top" wrapText="1"/>
    </xf>
    <xf numFmtId="0" fontId="10" fillId="3" borderId="16" xfId="4" applyFont="1" applyFill="1" applyBorder="1" applyAlignment="1">
      <alignment horizontal="center" vertical="center" wrapText="1"/>
    </xf>
    <xf numFmtId="0" fontId="6" fillId="4" borderId="10" xfId="4" applyFont="1" applyFill="1" applyBorder="1" applyAlignment="1">
      <alignment horizontal="center" vertical="top"/>
    </xf>
    <xf numFmtId="0" fontId="6" fillId="4" borderId="11" xfId="4" applyFont="1" applyFill="1" applyBorder="1" applyAlignment="1">
      <alignment horizontal="center" vertical="top"/>
    </xf>
    <xf numFmtId="0" fontId="6" fillId="4" borderId="12" xfId="4" applyFont="1" applyFill="1" applyBorder="1" applyAlignment="1">
      <alignment horizontal="center" vertical="top"/>
    </xf>
    <xf numFmtId="0" fontId="5" fillId="0" borderId="0" xfId="4" applyFont="1" applyAlignment="1">
      <alignment horizontal="left" vertical="top"/>
    </xf>
    <xf numFmtId="0" fontId="6" fillId="0" borderId="0" xfId="4" applyFont="1" applyFill="1" applyBorder="1" applyAlignment="1">
      <alignment vertical="top"/>
    </xf>
    <xf numFmtId="0" fontId="8" fillId="0" borderId="0" xfId="4" applyFont="1" applyFill="1" applyBorder="1" applyAlignment="1">
      <alignment horizontal="left" vertical="top" wrapText="1"/>
    </xf>
    <xf numFmtId="0" fontId="10" fillId="0" borderId="0" xfId="4" applyFont="1" applyFill="1" applyBorder="1" applyAlignment="1">
      <alignment horizontal="center" vertical="center" wrapText="1"/>
    </xf>
    <xf numFmtId="0" fontId="10" fillId="0" borderId="0" xfId="4" applyFont="1" applyFill="1" applyBorder="1" applyAlignment="1">
      <alignment horizontal="center" vertical="top" wrapText="1"/>
    </xf>
    <xf numFmtId="2" fontId="10" fillId="0" borderId="0" xfId="4" applyNumberFormat="1" applyFont="1" applyFill="1" applyBorder="1" applyAlignment="1">
      <alignment horizontal="center" vertical="top"/>
    </xf>
    <xf numFmtId="1" fontId="10" fillId="0" borderId="0" xfId="4" applyNumberFormat="1" applyFont="1" applyFill="1" applyBorder="1" applyAlignment="1">
      <alignment horizontal="center" vertical="top"/>
    </xf>
    <xf numFmtId="164" fontId="12" fillId="4" borderId="16" xfId="4" applyNumberFormat="1" applyFont="1" applyFill="1" applyBorder="1" applyAlignment="1">
      <alignment horizontal="center" vertical="center"/>
    </xf>
    <xf numFmtId="0" fontId="8" fillId="3" borderId="8" xfId="4" applyFont="1" applyFill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169" fontId="0" fillId="0" borderId="0" xfId="0" applyNumberFormat="1" applyAlignment="1">
      <alignment horizontal="right" vertical="center"/>
    </xf>
    <xf numFmtId="169" fontId="0" fillId="0" borderId="0" xfId="0" applyNumberFormat="1" applyAlignment="1">
      <alignment horizontal="right"/>
    </xf>
    <xf numFmtId="164" fontId="4" fillId="0" borderId="0" xfId="4" applyNumberFormat="1" applyFont="1" applyAlignment="1">
      <alignment horizontal="left" vertical="top"/>
    </xf>
    <xf numFmtId="12" fontId="12" fillId="4" borderId="16" xfId="4" applyNumberFormat="1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Border="1" applyAlignment="1">
      <alignment horizontal="center"/>
    </xf>
    <xf numFmtId="0" fontId="18" fillId="0" borderId="19" xfId="9" applyAlignment="1"/>
    <xf numFmtId="0" fontId="17" fillId="5" borderId="18" xfId="8" applyAlignment="1"/>
    <xf numFmtId="0" fontId="1" fillId="7" borderId="0" xfId="11"/>
    <xf numFmtId="0" fontId="1" fillId="6" borderId="1" xfId="10" applyBorder="1" applyAlignment="1">
      <alignment horizontal="center"/>
    </xf>
    <xf numFmtId="0" fontId="0" fillId="0" borderId="15" xfId="0" applyBorder="1"/>
    <xf numFmtId="0" fontId="0" fillId="0" borderId="20" xfId="0" applyBorder="1"/>
    <xf numFmtId="0" fontId="0" fillId="0" borderId="16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applyBorder="1"/>
    <xf numFmtId="0" fontId="0" fillId="8" borderId="5" xfId="0" applyFill="1" applyBorder="1"/>
    <xf numFmtId="0" fontId="0" fillId="8" borderId="1" xfId="0" applyFill="1" applyBorder="1"/>
    <xf numFmtId="0" fontId="0" fillId="0" borderId="0" xfId="0" applyFill="1"/>
    <xf numFmtId="0" fontId="1" fillId="0" borderId="0" xfId="11" applyFill="1"/>
    <xf numFmtId="0" fontId="4" fillId="0" borderId="0" xfId="4" applyFont="1" applyFill="1" applyAlignment="1">
      <alignment horizontal="center" vertical="top"/>
    </xf>
    <xf numFmtId="0" fontId="1" fillId="0" borderId="0" xfId="10" applyFill="1" applyBorder="1" applyAlignment="1">
      <alignment horizontal="center"/>
    </xf>
    <xf numFmtId="0" fontId="0" fillId="0" borderId="0" xfId="0" applyFill="1" applyBorder="1"/>
    <xf numFmtId="0" fontId="1" fillId="0" borderId="0" xfId="11" applyFill="1" applyBorder="1"/>
    <xf numFmtId="0" fontId="14" fillId="0" borderId="0" xfId="5" applyFill="1" applyBorder="1" applyAlignment="1"/>
    <xf numFmtId="0" fontId="16" fillId="0" borderId="0" xfId="7" applyFill="1" applyBorder="1" applyAlignment="1"/>
    <xf numFmtId="0" fontId="19" fillId="0" borderId="0" xfId="7" applyFont="1" applyFill="1" applyBorder="1" applyAlignment="1"/>
    <xf numFmtId="0" fontId="4" fillId="0" borderId="0" xfId="4" applyFont="1" applyFill="1" applyBorder="1" applyAlignment="1">
      <alignment horizontal="center" vertical="top"/>
    </xf>
    <xf numFmtId="0" fontId="4" fillId="0" borderId="0" xfId="4" applyFont="1" applyBorder="1" applyAlignment="1">
      <alignment horizontal="center" vertical="top"/>
    </xf>
    <xf numFmtId="12" fontId="0" fillId="8" borderId="6" xfId="0" applyNumberFormat="1" applyFill="1" applyBorder="1"/>
    <xf numFmtId="0" fontId="0" fillId="9" borderId="5" xfId="0" applyFill="1" applyBorder="1"/>
    <xf numFmtId="0" fontId="0" fillId="9" borderId="1" xfId="0" applyFill="1" applyBorder="1"/>
    <xf numFmtId="12" fontId="0" fillId="9" borderId="6" xfId="0" applyNumberFormat="1" applyFill="1" applyBorder="1"/>
    <xf numFmtId="0" fontId="2" fillId="0" borderId="0" xfId="2"/>
    <xf numFmtId="0" fontId="0" fillId="0" borderId="29" xfId="0" applyBorder="1"/>
    <xf numFmtId="0" fontId="0" fillId="0" borderId="0" xfId="0" applyBorder="1"/>
    <xf numFmtId="0" fontId="0" fillId="0" borderId="0" xfId="0" applyBorder="1" applyAlignment="1"/>
    <xf numFmtId="0" fontId="0" fillId="0" borderId="30" xfId="0" applyBorder="1"/>
    <xf numFmtId="165" fontId="4" fillId="0" borderId="6" xfId="4" applyNumberFormat="1" applyFont="1" applyBorder="1" applyAlignment="1">
      <alignment horizontal="center" vertical="center" wrapText="1"/>
    </xf>
    <xf numFmtId="166" fontId="4" fillId="0" borderId="6" xfId="4" applyNumberFormat="1" applyFont="1" applyBorder="1" applyAlignment="1">
      <alignment horizontal="center" vertical="center" wrapText="1"/>
    </xf>
    <xf numFmtId="0" fontId="7" fillId="0" borderId="7" xfId="4" applyFont="1" applyBorder="1" applyAlignment="1">
      <alignment horizontal="left" vertical="top" wrapText="1"/>
    </xf>
    <xf numFmtId="165" fontId="4" fillId="0" borderId="8" xfId="4" applyNumberFormat="1" applyFont="1" applyBorder="1" applyAlignment="1">
      <alignment horizontal="center" vertical="center" wrapText="1"/>
    </xf>
    <xf numFmtId="0" fontId="0" fillId="0" borderId="31" xfId="0" applyBorder="1"/>
    <xf numFmtId="165" fontId="4" fillId="0" borderId="9" xfId="4" applyNumberFormat="1" applyFont="1" applyBorder="1" applyAlignment="1">
      <alignment horizontal="center" vertical="center" wrapText="1"/>
    </xf>
    <xf numFmtId="0" fontId="1" fillId="6" borderId="32" xfId="10" applyBorder="1" applyAlignment="1">
      <alignment horizontal="center"/>
    </xf>
    <xf numFmtId="0" fontId="16" fillId="0" borderId="33" xfId="7" applyBorder="1"/>
    <xf numFmtId="0" fontId="16" fillId="0" borderId="34" xfId="7" applyBorder="1"/>
    <xf numFmtId="0" fontId="18" fillId="0" borderId="15" xfId="9" applyFill="1" applyBorder="1" applyAlignment="1">
      <alignment horizontal="center"/>
    </xf>
    <xf numFmtId="0" fontId="18" fillId="0" borderId="20" xfId="9" applyFill="1" applyBorder="1" applyAlignment="1">
      <alignment horizontal="center"/>
    </xf>
    <xf numFmtId="0" fontId="18" fillId="0" borderId="16" xfId="9" applyFill="1" applyBorder="1" applyAlignment="1">
      <alignment horizontal="center"/>
    </xf>
    <xf numFmtId="0" fontId="16" fillId="0" borderId="21" xfId="12"/>
    <xf numFmtId="0" fontId="17" fillId="5" borderId="18" xfId="8"/>
    <xf numFmtId="12" fontId="17" fillId="5" borderId="18" xfId="8" applyNumberFormat="1"/>
    <xf numFmtId="0" fontId="17" fillId="13" borderId="18" xfId="8" applyFill="1"/>
    <xf numFmtId="12" fontId="17" fillId="13" borderId="18" xfId="8" applyNumberFormat="1" applyFill="1"/>
    <xf numFmtId="0" fontId="17" fillId="14" borderId="18" xfId="8" applyFill="1"/>
    <xf numFmtId="12" fontId="17" fillId="14" borderId="18" xfId="8" applyNumberFormat="1" applyFill="1"/>
    <xf numFmtId="12" fontId="17" fillId="5" borderId="35" xfId="8" applyNumberFormat="1" applyBorder="1"/>
    <xf numFmtId="12" fontId="17" fillId="13" borderId="36" xfId="8" applyNumberFormat="1" applyFill="1" applyBorder="1"/>
    <xf numFmtId="0" fontId="21" fillId="10" borderId="22" xfId="13"/>
    <xf numFmtId="0" fontId="14" fillId="0" borderId="0" xfId="5" applyAlignment="1">
      <alignment horizontal="center" textRotation="90"/>
    </xf>
    <xf numFmtId="0" fontId="14" fillId="0" borderId="0" xfId="5" applyAlignment="1">
      <alignment textRotation="90"/>
    </xf>
    <xf numFmtId="0" fontId="16" fillId="0" borderId="0" xfId="7" applyAlignment="1">
      <alignment horizontal="right"/>
    </xf>
    <xf numFmtId="0" fontId="0" fillId="8" borderId="0" xfId="0" applyFill="1"/>
    <xf numFmtId="0" fontId="2" fillId="0" borderId="0" xfId="2"/>
    <xf numFmtId="0" fontId="2" fillId="0" borderId="0" xfId="2" applyAlignment="1"/>
    <xf numFmtId="0" fontId="1" fillId="8" borderId="0" xfId="10" applyFill="1" applyBorder="1" applyAlignment="1">
      <alignment horizontal="center"/>
    </xf>
    <xf numFmtId="0" fontId="1" fillId="11" borderId="0" xfId="10" applyFill="1" applyBorder="1" applyAlignment="1">
      <alignment horizontal="center"/>
    </xf>
    <xf numFmtId="0" fontId="1" fillId="8" borderId="33" xfId="10" applyFill="1" applyBorder="1" applyAlignment="1">
      <alignment horizontal="center"/>
    </xf>
    <xf numFmtId="0" fontId="1" fillId="11" borderId="37" xfId="10" applyFill="1" applyBorder="1" applyAlignment="1">
      <alignment horizontal="center"/>
    </xf>
    <xf numFmtId="0" fontId="1" fillId="8" borderId="37" xfId="10" applyFill="1" applyBorder="1" applyAlignment="1">
      <alignment horizontal="center"/>
    </xf>
    <xf numFmtId="0" fontId="1" fillId="8" borderId="34" xfId="10" applyFill="1" applyBorder="1" applyAlignment="1">
      <alignment horizontal="center"/>
    </xf>
    <xf numFmtId="0" fontId="1" fillId="8" borderId="40" xfId="10" applyFill="1" applyBorder="1" applyAlignment="1">
      <alignment horizontal="center"/>
    </xf>
    <xf numFmtId="0" fontId="1" fillId="11" borderId="41" xfId="10" applyFill="1" applyBorder="1" applyAlignment="1">
      <alignment horizontal="center"/>
    </xf>
    <xf numFmtId="0" fontId="1" fillId="8" borderId="41" xfId="10" applyFill="1" applyBorder="1" applyAlignment="1">
      <alignment horizontal="center"/>
    </xf>
    <xf numFmtId="0" fontId="0" fillId="8" borderId="43" xfId="0" applyFill="1" applyBorder="1"/>
    <xf numFmtId="0" fontId="0" fillId="8" borderId="44" xfId="0" applyFill="1" applyBorder="1"/>
    <xf numFmtId="0" fontId="0" fillId="8" borderId="45" xfId="0" applyFill="1" applyBorder="1"/>
    <xf numFmtId="0" fontId="0" fillId="12" borderId="34" xfId="0" applyFill="1" applyBorder="1"/>
    <xf numFmtId="0" fontId="0" fillId="12" borderId="0" xfId="0" applyFill="1" applyBorder="1"/>
    <xf numFmtId="0" fontId="0" fillId="12" borderId="39" xfId="0" applyFill="1" applyBorder="1"/>
    <xf numFmtId="0" fontId="0" fillId="8" borderId="34" xfId="0" applyFill="1" applyBorder="1"/>
    <xf numFmtId="0" fontId="0" fillId="8" borderId="0" xfId="0" applyFill="1" applyBorder="1"/>
    <xf numFmtId="0" fontId="0" fillId="8" borderId="39" xfId="0" applyFill="1" applyBorder="1"/>
    <xf numFmtId="0" fontId="0" fillId="0" borderId="33" xfId="0" applyBorder="1"/>
    <xf numFmtId="0" fontId="0" fillId="0" borderId="38" xfId="0" applyBorder="1"/>
    <xf numFmtId="0" fontId="0" fillId="0" borderId="34" xfId="0" applyBorder="1"/>
    <xf numFmtId="0" fontId="0" fillId="0" borderId="39" xfId="0" applyBorder="1"/>
    <xf numFmtId="0" fontId="0" fillId="0" borderId="40" xfId="0" applyBorder="1"/>
    <xf numFmtId="0" fontId="0" fillId="0" borderId="42" xfId="0" applyBorder="1"/>
    <xf numFmtId="0" fontId="16" fillId="0" borderId="32" xfId="7" applyBorder="1"/>
    <xf numFmtId="0" fontId="2" fillId="0" borderId="0" xfId="2" applyBorder="1"/>
    <xf numFmtId="0" fontId="16" fillId="0" borderId="0" xfId="7"/>
    <xf numFmtId="0" fontId="15" fillId="0" borderId="0" xfId="6" applyBorder="1" applyAlignment="1"/>
    <xf numFmtId="0" fontId="7" fillId="0" borderId="46" xfId="4" applyFont="1" applyBorder="1" applyAlignment="1">
      <alignment horizontal="left" vertical="top" wrapText="1"/>
    </xf>
    <xf numFmtId="165" fontId="4" fillId="0" borderId="32" xfId="4" applyNumberFormat="1" applyFont="1" applyBorder="1" applyAlignment="1">
      <alignment horizontal="center" vertical="center" wrapText="1"/>
    </xf>
    <xf numFmtId="165" fontId="4" fillId="0" borderId="50" xfId="4" applyNumberFormat="1" applyFont="1" applyBorder="1" applyAlignment="1">
      <alignment horizontal="center" vertical="center" wrapText="1"/>
    </xf>
    <xf numFmtId="0" fontId="0" fillId="0" borderId="51" xfId="0" applyBorder="1"/>
    <xf numFmtId="0" fontId="18" fillId="0" borderId="53" xfId="9" applyBorder="1" applyAlignment="1"/>
    <xf numFmtId="0" fontId="17" fillId="5" borderId="35" xfId="8" applyBorder="1" applyAlignment="1"/>
    <xf numFmtId="0" fontId="7" fillId="0" borderId="2" xfId="4" applyFont="1" applyBorder="1" applyAlignment="1">
      <alignment horizontal="left" vertical="top" wrapText="1"/>
    </xf>
    <xf numFmtId="165" fontId="4" fillId="0" borderId="4" xfId="4" applyNumberFormat="1" applyFont="1" applyBorder="1" applyAlignment="1">
      <alignment horizontal="center" vertical="center" wrapText="1"/>
    </xf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16" fillId="0" borderId="29" xfId="7" applyBorder="1" applyAlignment="1">
      <alignment horizontal="right"/>
    </xf>
    <xf numFmtId="0" fontId="16" fillId="0" borderId="51" xfId="7" applyBorder="1" applyAlignment="1">
      <alignment horizontal="right"/>
    </xf>
    <xf numFmtId="0" fontId="0" fillId="0" borderId="52" xfId="0" applyBorder="1" applyAlignment="1"/>
    <xf numFmtId="0" fontId="17" fillId="5" borderId="1" xfId="8" applyBorder="1"/>
    <xf numFmtId="0" fontId="17" fillId="5" borderId="8" xfId="8" applyBorder="1" applyAlignment="1"/>
    <xf numFmtId="0" fontId="1" fillId="16" borderId="1" xfId="15" applyBorder="1"/>
    <xf numFmtId="0" fontId="22" fillId="15" borderId="55" xfId="14" applyBorder="1"/>
    <xf numFmtId="0" fontId="1" fillId="7" borderId="2" xfId="11" applyBorder="1"/>
    <xf numFmtId="0" fontId="1" fillId="7" borderId="5" xfId="11" applyBorder="1"/>
    <xf numFmtId="0" fontId="1" fillId="7" borderId="7" xfId="11" applyBorder="1"/>
    <xf numFmtId="0" fontId="22" fillId="15" borderId="2" xfId="14" applyBorder="1"/>
    <xf numFmtId="0" fontId="1" fillId="16" borderId="3" xfId="15" applyBorder="1"/>
    <xf numFmtId="0" fontId="1" fillId="17" borderId="4" xfId="16" applyBorder="1"/>
    <xf numFmtId="0" fontId="22" fillId="15" borderId="5" xfId="14" applyBorder="1"/>
    <xf numFmtId="0" fontId="1" fillId="17" borderId="6" xfId="16" applyBorder="1"/>
    <xf numFmtId="0" fontId="22" fillId="15" borderId="7" xfId="14" applyBorder="1"/>
    <xf numFmtId="0" fontId="1" fillId="16" borderId="8" xfId="15" applyBorder="1"/>
    <xf numFmtId="0" fontId="1" fillId="17" borderId="9" xfId="16" applyBorder="1"/>
    <xf numFmtId="0" fontId="22" fillId="15" borderId="56" xfId="14" applyBorder="1"/>
    <xf numFmtId="0" fontId="22" fillId="15" borderId="57" xfId="14" applyBorder="1"/>
    <xf numFmtId="0" fontId="1" fillId="7" borderId="4" xfId="11" applyBorder="1"/>
    <xf numFmtId="0" fontId="1" fillId="7" borderId="6" xfId="11" applyBorder="1"/>
    <xf numFmtId="0" fontId="17" fillId="5" borderId="58" xfId="8" applyBorder="1"/>
    <xf numFmtId="0" fontId="17" fillId="5" borderId="59" xfId="8" applyBorder="1"/>
    <xf numFmtId="0" fontId="17" fillId="5" borderId="60" xfId="8" applyBorder="1"/>
    <xf numFmtId="0" fontId="17" fillId="5" borderId="61" xfId="8" applyBorder="1"/>
    <xf numFmtId="0" fontId="17" fillId="5" borderId="18" xfId="8" applyBorder="1"/>
    <xf numFmtId="0" fontId="17" fillId="5" borderId="62" xfId="8" applyBorder="1"/>
    <xf numFmtId="0" fontId="17" fillId="5" borderId="63" xfId="8" applyBorder="1"/>
    <xf numFmtId="0" fontId="17" fillId="5" borderId="64" xfId="8" applyBorder="1"/>
    <xf numFmtId="0" fontId="17" fillId="5" borderId="65" xfId="8" applyBorder="1"/>
    <xf numFmtId="0" fontId="1" fillId="17" borderId="66" xfId="16" applyBorder="1"/>
    <xf numFmtId="0" fontId="1" fillId="17" borderId="67" xfId="16" applyBorder="1"/>
    <xf numFmtId="0" fontId="1" fillId="17" borderId="68" xfId="16" applyBorder="1"/>
    <xf numFmtId="0" fontId="0" fillId="0" borderId="69" xfId="0" applyFill="1" applyBorder="1"/>
    <xf numFmtId="0" fontId="21" fillId="10" borderId="70" xfId="13" applyBorder="1"/>
    <xf numFmtId="0" fontId="21" fillId="10" borderId="71" xfId="13" applyBorder="1"/>
    <xf numFmtId="0" fontId="21" fillId="10" borderId="72" xfId="13" applyBorder="1"/>
    <xf numFmtId="0" fontId="0" fillId="0" borderId="54" xfId="0" applyBorder="1"/>
    <xf numFmtId="0" fontId="1" fillId="7" borderId="9" xfId="11" applyBorder="1"/>
    <xf numFmtId="0" fontId="1" fillId="11" borderId="38" xfId="10" applyFill="1" applyBorder="1" applyAlignment="1">
      <alignment horizontal="center"/>
    </xf>
    <xf numFmtId="0" fontId="1" fillId="11" borderId="39" xfId="10" applyFill="1" applyBorder="1" applyAlignment="1">
      <alignment horizontal="center"/>
    </xf>
    <xf numFmtId="0" fontId="1" fillId="11" borderId="42" xfId="10" applyFill="1" applyBorder="1" applyAlignment="1">
      <alignment horizontal="center"/>
    </xf>
    <xf numFmtId="0" fontId="0" fillId="8" borderId="7" xfId="0" applyFill="1" applyBorder="1"/>
    <xf numFmtId="0" fontId="17" fillId="13" borderId="64" xfId="8" applyFill="1" applyBorder="1"/>
    <xf numFmtId="12" fontId="17" fillId="13" borderId="64" xfId="8" applyNumberFormat="1" applyFill="1" applyBorder="1"/>
    <xf numFmtId="0" fontId="0" fillId="9" borderId="7" xfId="0" applyFill="1" applyBorder="1"/>
    <xf numFmtId="0" fontId="17" fillId="14" borderId="64" xfId="8" applyFill="1" applyBorder="1"/>
    <xf numFmtId="12" fontId="17" fillId="14" borderId="64" xfId="8" applyNumberFormat="1" applyFill="1" applyBorder="1"/>
    <xf numFmtId="0" fontId="0" fillId="9" borderId="8" xfId="0" applyFill="1" applyBorder="1"/>
    <xf numFmtId="12" fontId="0" fillId="9" borderId="9" xfId="0" applyNumberFormat="1" applyFill="1" applyBorder="1"/>
    <xf numFmtId="0" fontId="0" fillId="8" borderId="8" xfId="0" applyFill="1" applyBorder="1"/>
    <xf numFmtId="12" fontId="0" fillId="8" borderId="9" xfId="0" applyNumberFormat="1" applyFill="1" applyBorder="1"/>
    <xf numFmtId="0" fontId="0" fillId="8" borderId="33" xfId="0" applyFill="1" applyBorder="1"/>
    <xf numFmtId="0" fontId="0" fillId="8" borderId="37" xfId="0" applyFill="1" applyBorder="1"/>
    <xf numFmtId="0" fontId="0" fillId="8" borderId="38" xfId="0" applyFill="1" applyBorder="1"/>
    <xf numFmtId="0" fontId="0" fillId="8" borderId="40" xfId="0" applyFill="1" applyBorder="1"/>
    <xf numFmtId="0" fontId="0" fillId="8" borderId="41" xfId="0" applyFill="1" applyBorder="1"/>
    <xf numFmtId="0" fontId="0" fillId="8" borderId="42" xfId="0" applyFill="1" applyBorder="1"/>
    <xf numFmtId="0" fontId="0" fillId="0" borderId="69" xfId="0" applyBorder="1"/>
    <xf numFmtId="0" fontId="0" fillId="0" borderId="73" xfId="0" applyBorder="1"/>
    <xf numFmtId="0" fontId="0" fillId="0" borderId="74" xfId="0" applyBorder="1"/>
    <xf numFmtId="0" fontId="0" fillId="0" borderId="75" xfId="0" applyBorder="1"/>
    <xf numFmtId="0" fontId="16" fillId="0" borderId="13" xfId="7" applyBorder="1"/>
    <xf numFmtId="0" fontId="16" fillId="0" borderId="76" xfId="7" applyBorder="1"/>
    <xf numFmtId="0" fontId="16" fillId="0" borderId="14" xfId="7" applyBorder="1"/>
    <xf numFmtId="0" fontId="0" fillId="0" borderId="75" xfId="0" applyBorder="1" applyAlignment="1">
      <alignment wrapText="1"/>
    </xf>
    <xf numFmtId="0" fontId="0" fillId="0" borderId="1" xfId="0" applyBorder="1" applyAlignment="1">
      <alignment wrapText="1"/>
    </xf>
    <xf numFmtId="16" fontId="0" fillId="0" borderId="0" xfId="0" applyNumberFormat="1"/>
    <xf numFmtId="0" fontId="0" fillId="0" borderId="52" xfId="0" applyBorder="1"/>
    <xf numFmtId="0" fontId="0" fillId="0" borderId="48" xfId="0" applyFill="1" applyBorder="1"/>
    <xf numFmtId="0" fontId="0" fillId="0" borderId="67" xfId="0" applyBorder="1"/>
    <xf numFmtId="0" fontId="17" fillId="5" borderId="2" xfId="8" applyBorder="1"/>
    <xf numFmtId="0" fontId="17" fillId="5" borderId="3" xfId="8" applyBorder="1"/>
    <xf numFmtId="0" fontId="17" fillId="5" borderId="4" xfId="8" applyBorder="1"/>
    <xf numFmtId="0" fontId="17" fillId="5" borderId="6" xfId="8" applyBorder="1"/>
    <xf numFmtId="0" fontId="17" fillId="5" borderId="8" xfId="8" applyBorder="1"/>
    <xf numFmtId="0" fontId="17" fillId="5" borderId="9" xfId="8" applyBorder="1"/>
    <xf numFmtId="0" fontId="16" fillId="0" borderId="78" xfId="7" applyBorder="1"/>
    <xf numFmtId="0" fontId="16" fillId="0" borderId="79" xfId="7" applyBorder="1"/>
    <xf numFmtId="0" fontId="16" fillId="0" borderId="80" xfId="7" applyBorder="1"/>
    <xf numFmtId="0" fontId="1" fillId="18" borderId="3" xfId="17" applyBorder="1"/>
    <xf numFmtId="0" fontId="1" fillId="18" borderId="1" xfId="17" applyBorder="1"/>
    <xf numFmtId="0" fontId="1" fillId="18" borderId="8" xfId="17" applyBorder="1"/>
    <xf numFmtId="0" fontId="16" fillId="0" borderId="54" xfId="7" applyBorder="1"/>
    <xf numFmtId="0" fontId="1" fillId="19" borderId="2" xfId="16" applyFill="1" applyBorder="1"/>
    <xf numFmtId="0" fontId="1" fillId="19" borderId="5" xfId="16" applyFill="1" applyBorder="1"/>
    <xf numFmtId="0" fontId="1" fillId="19" borderId="7" xfId="16" applyFill="1" applyBorder="1"/>
    <xf numFmtId="0" fontId="23" fillId="0" borderId="0" xfId="0" applyFont="1" applyFill="1" applyBorder="1"/>
    <xf numFmtId="0" fontId="0" fillId="0" borderId="81" xfId="0" applyBorder="1"/>
    <xf numFmtId="0" fontId="8" fillId="3" borderId="68" xfId="4" applyFont="1" applyFill="1" applyBorder="1" applyAlignment="1">
      <alignment horizontal="center" vertical="top" wrapText="1"/>
    </xf>
    <xf numFmtId="0" fontId="8" fillId="2" borderId="66" xfId="4" applyFont="1" applyFill="1" applyBorder="1" applyAlignment="1">
      <alignment vertical="top" wrapText="1"/>
    </xf>
    <xf numFmtId="168" fontId="4" fillId="0" borderId="67" xfId="4" applyNumberFormat="1" applyFont="1" applyBorder="1" applyAlignment="1">
      <alignment horizontal="center" vertical="top" wrapText="1"/>
    </xf>
    <xf numFmtId="167" fontId="4" fillId="0" borderId="67" xfId="4" applyNumberFormat="1" applyFont="1" applyBorder="1" applyAlignment="1">
      <alignment horizontal="center" vertical="top" wrapText="1"/>
    </xf>
    <xf numFmtId="0" fontId="4" fillId="0" borderId="68" xfId="4" applyFont="1" applyBorder="1" applyAlignment="1">
      <alignment horizontal="left" vertical="top"/>
    </xf>
    <xf numFmtId="164" fontId="4" fillId="0" borderId="67" xfId="4" applyNumberFormat="1" applyFont="1" applyBorder="1" applyAlignment="1">
      <alignment horizontal="center" vertical="top" wrapText="1"/>
    </xf>
    <xf numFmtId="0" fontId="10" fillId="3" borderId="16" xfId="4" applyFont="1" applyFill="1" applyBorder="1" applyAlignment="1">
      <alignment horizontal="center" vertical="top" wrapText="1"/>
    </xf>
    <xf numFmtId="0" fontId="4" fillId="0" borderId="33" xfId="4" applyFont="1" applyBorder="1" applyAlignment="1">
      <alignment horizontal="left" vertical="top"/>
    </xf>
    <xf numFmtId="0" fontId="10" fillId="3" borderId="15" xfId="4" applyFont="1" applyFill="1" applyBorder="1" applyAlignment="1">
      <alignment horizontal="center" vertical="top" wrapText="1"/>
    </xf>
    <xf numFmtId="0" fontId="12" fillId="3" borderId="15" xfId="4" applyFont="1" applyFill="1" applyBorder="1" applyAlignment="1">
      <alignment horizontal="center" vertical="center" wrapText="1"/>
    </xf>
    <xf numFmtId="0" fontId="10" fillId="3" borderId="54" xfId="4" applyFont="1" applyFill="1" applyBorder="1" applyAlignment="1">
      <alignment horizontal="center" vertical="top" wrapText="1"/>
    </xf>
    <xf numFmtId="0" fontId="12" fillId="3" borderId="54" xfId="4" applyFont="1" applyFill="1" applyBorder="1" applyAlignment="1">
      <alignment horizontal="center" vertical="center" wrapText="1"/>
    </xf>
    <xf numFmtId="0" fontId="12" fillId="3" borderId="16" xfId="4" applyFont="1" applyFill="1" applyBorder="1" applyAlignment="1">
      <alignment horizontal="center" vertical="center" wrapText="1"/>
    </xf>
    <xf numFmtId="0" fontId="4" fillId="0" borderId="67" xfId="4" applyFont="1" applyBorder="1" applyAlignment="1">
      <alignment horizontal="center" vertical="top"/>
    </xf>
    <xf numFmtId="0" fontId="4" fillId="0" borderId="1" xfId="4" applyFont="1" applyBorder="1" applyAlignment="1">
      <alignment horizontal="center" vertical="top"/>
    </xf>
    <xf numFmtId="0" fontId="4" fillId="0" borderId="6" xfId="4" applyFont="1" applyBorder="1" applyAlignment="1">
      <alignment horizontal="center" vertical="top"/>
    </xf>
    <xf numFmtId="0" fontId="4" fillId="0" borderId="57" xfId="4" applyFont="1" applyBorder="1" applyAlignment="1">
      <alignment horizontal="left" vertical="top"/>
    </xf>
    <xf numFmtId="0" fontId="10" fillId="0" borderId="8" xfId="4" applyFont="1" applyBorder="1" applyAlignment="1">
      <alignment horizontal="center" vertical="top"/>
    </xf>
    <xf numFmtId="0" fontId="4" fillId="0" borderId="82" xfId="4" applyFont="1" applyBorder="1" applyAlignment="1">
      <alignment horizontal="left" vertical="top"/>
    </xf>
    <xf numFmtId="168" fontId="10" fillId="0" borderId="8" xfId="4" applyNumberFormat="1" applyFont="1" applyBorder="1" applyAlignment="1">
      <alignment horizontal="center" vertical="top"/>
    </xf>
    <xf numFmtId="0" fontId="4" fillId="0" borderId="8" xfId="4" applyFont="1" applyBorder="1" applyAlignment="1">
      <alignment horizontal="center" vertical="top"/>
    </xf>
    <xf numFmtId="0" fontId="4" fillId="0" borderId="68" xfId="4" applyFont="1" applyBorder="1" applyAlignment="1">
      <alignment horizontal="center" vertical="top"/>
    </xf>
    <xf numFmtId="164" fontId="12" fillId="4" borderId="54" xfId="4" applyNumberFormat="1" applyFont="1" applyFill="1" applyBorder="1" applyAlignment="1">
      <alignment horizontal="center" vertical="center"/>
    </xf>
    <xf numFmtId="12" fontId="12" fillId="4" borderId="54" xfId="4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/>
    </xf>
    <xf numFmtId="0" fontId="0" fillId="0" borderId="0" xfId="0" applyAlignment="1">
      <alignment horizontal="center" vertical="center"/>
    </xf>
    <xf numFmtId="0" fontId="13" fillId="3" borderId="15" xfId="4" applyFont="1" applyFill="1" applyBorder="1" applyAlignment="1">
      <alignment horizontal="left" vertical="center" wrapText="1"/>
    </xf>
    <xf numFmtId="0" fontId="13" fillId="3" borderId="16" xfId="4" applyFont="1" applyFill="1" applyBorder="1" applyAlignment="1">
      <alignment horizontal="left" vertical="center" wrapText="1"/>
    </xf>
    <xf numFmtId="9" fontId="10" fillId="3" borderId="15" xfId="1" applyFont="1" applyFill="1" applyBorder="1" applyAlignment="1">
      <alignment horizontal="center" vertical="top" wrapText="1"/>
    </xf>
    <xf numFmtId="9" fontId="10" fillId="3" borderId="20" xfId="1" applyFont="1" applyFill="1" applyBorder="1" applyAlignment="1">
      <alignment horizontal="center" vertical="top" wrapText="1"/>
    </xf>
    <xf numFmtId="9" fontId="10" fillId="3" borderId="16" xfId="1" applyFont="1" applyFill="1" applyBorder="1" applyAlignment="1">
      <alignment horizontal="center" vertical="top" wrapText="1"/>
    </xf>
    <xf numFmtId="0" fontId="1" fillId="6" borderId="23" xfId="10" applyBorder="1" applyAlignment="1">
      <alignment horizontal="center"/>
    </xf>
    <xf numFmtId="0" fontId="15" fillId="0" borderId="0" xfId="6" applyBorder="1" applyAlignment="1">
      <alignment horizontal="center"/>
    </xf>
    <xf numFmtId="0" fontId="15" fillId="0" borderId="17" xfId="6" applyAlignment="1">
      <alignment horizontal="center"/>
    </xf>
    <xf numFmtId="0" fontId="15" fillId="0" borderId="24" xfId="6" applyBorder="1" applyAlignment="1">
      <alignment horizontal="center"/>
    </xf>
    <xf numFmtId="0" fontId="15" fillId="0" borderId="25" xfId="6" applyBorder="1" applyAlignment="1">
      <alignment horizontal="center"/>
    </xf>
    <xf numFmtId="0" fontId="15" fillId="0" borderId="26" xfId="6" applyBorder="1" applyAlignment="1">
      <alignment horizontal="center"/>
    </xf>
    <xf numFmtId="0" fontId="1" fillId="6" borderId="27" xfId="10" applyBorder="1" applyAlignment="1">
      <alignment horizontal="center"/>
    </xf>
    <xf numFmtId="0" fontId="1" fillId="6" borderId="28" xfId="10" applyBorder="1" applyAlignment="1">
      <alignment horizontal="center"/>
    </xf>
    <xf numFmtId="0" fontId="0" fillId="0" borderId="31" xfId="0" applyBorder="1" applyAlignment="1">
      <alignment horizontal="center"/>
    </xf>
    <xf numFmtId="0" fontId="15" fillId="0" borderId="0" xfId="6" applyBorder="1" applyAlignment="1">
      <alignment horizontal="center" wrapText="1"/>
    </xf>
    <xf numFmtId="0" fontId="15" fillId="0" borderId="1" xfId="6" applyBorder="1" applyAlignment="1">
      <alignment horizontal="center"/>
    </xf>
    <xf numFmtId="0" fontId="16" fillId="0" borderId="15" xfId="7" applyBorder="1" applyAlignment="1">
      <alignment horizontal="center"/>
    </xf>
    <xf numFmtId="0" fontId="16" fillId="0" borderId="20" xfId="7" applyBorder="1" applyAlignment="1">
      <alignment horizontal="center"/>
    </xf>
    <xf numFmtId="0" fontId="19" fillId="0" borderId="15" xfId="7" applyFont="1" applyBorder="1" applyAlignment="1">
      <alignment horizontal="center"/>
    </xf>
    <xf numFmtId="0" fontId="16" fillId="0" borderId="16" xfId="7" applyBorder="1" applyAlignment="1">
      <alignment horizontal="center"/>
    </xf>
    <xf numFmtId="0" fontId="14" fillId="0" borderId="0" xfId="5" applyAlignment="1">
      <alignment horizontal="center"/>
    </xf>
    <xf numFmtId="0" fontId="16" fillId="0" borderId="21" xfId="12" applyAlignment="1">
      <alignment horizontal="center"/>
    </xf>
    <xf numFmtId="0" fontId="16" fillId="0" borderId="0" xfId="12" applyBorder="1" applyAlignment="1">
      <alignment horizontal="center"/>
    </xf>
    <xf numFmtId="0" fontId="16" fillId="0" borderId="41" xfId="12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41" xfId="0" applyBorder="1" applyAlignment="1">
      <alignment horizontal="center"/>
    </xf>
    <xf numFmtId="0" fontId="15" fillId="0" borderId="41" xfId="6" applyBorder="1" applyAlignment="1">
      <alignment horizontal="center"/>
    </xf>
    <xf numFmtId="0" fontId="0" fillId="0" borderId="48" xfId="0" applyBorder="1" applyAlignment="1">
      <alignment wrapText="1"/>
    </xf>
    <xf numFmtId="0" fontId="0" fillId="0" borderId="31" xfId="0" applyBorder="1" applyAlignment="1">
      <alignment wrapText="1"/>
    </xf>
    <xf numFmtId="0" fontId="0" fillId="0" borderId="47" xfId="0" applyBorder="1"/>
    <xf numFmtId="0" fontId="0" fillId="0" borderId="51" xfId="0" applyBorder="1"/>
    <xf numFmtId="0" fontId="0" fillId="0" borderId="49" xfId="0" applyBorder="1" applyAlignment="1">
      <alignment wrapText="1"/>
    </xf>
    <xf numFmtId="0" fontId="0" fillId="0" borderId="52" xfId="0" applyBorder="1" applyAlignment="1">
      <alignment wrapText="1"/>
    </xf>
  </cellXfs>
  <cellStyles count="18">
    <cellStyle name="20% - Accent1" xfId="10" builtinId="30"/>
    <cellStyle name="20% - Accent2" xfId="16" builtinId="34"/>
    <cellStyle name="20% - Accent3" xfId="17" builtinId="38"/>
    <cellStyle name="20% - Accent5" xfId="11" builtinId="46"/>
    <cellStyle name="40% - Accent1" xfId="15" builtinId="31"/>
    <cellStyle name="Heading 2" xfId="6" builtinId="17"/>
    <cellStyle name="Heading 3" xfId="12" builtinId="18"/>
    <cellStyle name="Heading 4" xfId="7" builtinId="19"/>
    <cellStyle name="Input" xfId="13" builtinId="20"/>
    <cellStyle name="Neutral" xfId="14" builtinId="28"/>
    <cellStyle name="Normal" xfId="0" builtinId="0"/>
    <cellStyle name="Normal 2" xfId="2" xr:uid="{DBA67F18-CE76-48AC-A76A-BB56F63AD33B}"/>
    <cellStyle name="Normal 3" xfId="4" xr:uid="{29F4D112-EFF1-4392-B354-4A05C1CD97CF}"/>
    <cellStyle name="Output" xfId="8" builtinId="21"/>
    <cellStyle name="Percent" xfId="1" builtinId="5"/>
    <cellStyle name="Percent 2" xfId="3" xr:uid="{ACFE5AC7-570F-4BD7-93E2-6887D6C0FB0F}"/>
    <cellStyle name="Title" xfId="5" builtinId="15"/>
    <cellStyle name="Total" xfId="9" builtinId="25"/>
  </cellStyles>
  <dxfs count="74"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fgColor theme="4"/>
          <bgColor rgb="FF00B0F0"/>
        </patternFill>
      </fill>
    </dxf>
    <dxf>
      <fill>
        <patternFill>
          <fgColor theme="4"/>
          <bgColor rgb="FF00B0F0"/>
        </patternFill>
      </fill>
    </dxf>
    <dxf>
      <fill>
        <patternFill>
          <fgColor theme="4"/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  <border>
        <left/>
        <right/>
        <top/>
        <bottom/>
        <vertical/>
        <horizontal/>
      </border>
    </dxf>
    <dxf>
      <fill>
        <patternFill>
          <bgColor theme="5"/>
        </patternFill>
      </fill>
      <border>
        <left/>
        <right/>
        <top/>
        <bottom/>
        <vertical/>
        <horizontal/>
      </border>
    </dxf>
    <dxf>
      <font>
        <b/>
        <i val="0"/>
        <color rgb="FFF8F8F8"/>
      </font>
      <fill>
        <patternFill>
          <bgColor rgb="FFFF0000"/>
        </patternFill>
      </fill>
    </dxf>
    <dxf>
      <fill>
        <patternFill>
          <bgColor theme="5"/>
        </patternFill>
      </fill>
      <border>
        <left/>
        <right/>
        <top/>
        <bottom/>
        <vertical/>
        <horizontal/>
      </border>
    </dxf>
    <dxf>
      <fill>
        <patternFill>
          <bgColor theme="5"/>
        </patternFill>
      </fill>
      <border>
        <left/>
        <right/>
        <top/>
        <bottom/>
        <vertical/>
        <horizontal/>
      </border>
    </dxf>
    <dxf>
      <fill>
        <patternFill>
          <bgColor theme="5"/>
        </patternFill>
      </fill>
      <border>
        <left/>
        <right/>
        <top/>
        <bottom/>
        <vertical/>
        <horizontal/>
      </border>
    </dxf>
    <dxf>
      <fill>
        <patternFill>
          <bgColor theme="5"/>
        </patternFill>
      </fill>
      <border>
        <left/>
        <right/>
        <top/>
        <bottom/>
        <vertical/>
        <horizontal/>
      </border>
    </dxf>
    <dxf>
      <fill>
        <patternFill>
          <bgColor theme="5"/>
        </patternFill>
      </fill>
      <border>
        <left/>
        <right/>
        <top/>
        <bottom/>
        <vertical/>
        <horizontal/>
      </border>
    </dxf>
    <dxf>
      <fill>
        <patternFill>
          <bgColor theme="5"/>
        </patternFill>
      </fill>
      <border>
        <left/>
        <right/>
        <top/>
        <bottom/>
        <vertical/>
        <horizontal/>
      </border>
    </dxf>
    <dxf>
      <fill>
        <patternFill>
          <bgColor theme="5"/>
        </patternFill>
      </fill>
      <border>
        <left/>
        <right/>
        <top/>
        <bottom/>
        <vertical/>
        <horizontal/>
      </border>
    </dxf>
    <dxf>
      <fill>
        <patternFill>
          <bgColor theme="5"/>
        </patternFill>
      </fill>
      <border>
        <left/>
        <right/>
        <top/>
        <bottom/>
        <vertical/>
        <horizontal/>
      </border>
    </dxf>
    <dxf>
      <fill>
        <patternFill>
          <bgColor theme="5"/>
        </patternFill>
      </fill>
      <border>
        <left/>
        <right/>
        <top/>
        <bottom/>
        <vertical/>
        <horizontal/>
      </border>
    </dxf>
    <dxf>
      <fill>
        <patternFill>
          <bgColor theme="5"/>
        </patternFill>
      </fill>
      <border>
        <left/>
        <right/>
        <top/>
        <bottom/>
        <vertical/>
        <horizontal/>
      </border>
    </dxf>
    <dxf>
      <fill>
        <patternFill>
          <bgColor theme="5"/>
        </patternFill>
      </fill>
      <border>
        <left/>
        <right/>
        <top/>
        <bottom/>
        <vertical/>
        <horizontal/>
      </border>
    </dxf>
    <dxf>
      <fill>
        <patternFill>
          <bgColor theme="5"/>
        </patternFill>
      </fill>
      <border>
        <left/>
        <right/>
        <top/>
        <bottom/>
        <vertical/>
        <horizontal/>
      </border>
    </dxf>
    <dxf>
      <fill>
        <patternFill>
          <bgColor theme="5"/>
        </patternFill>
      </fill>
      <border>
        <left/>
        <right/>
        <top/>
        <bottom/>
        <vertical/>
        <horizontal/>
      </border>
    </dxf>
    <dxf>
      <fill>
        <patternFill>
          <bgColor theme="5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8F8F8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104775</xdr:colOff>
      <xdr:row>32</xdr:row>
      <xdr:rowOff>57149</xdr:rowOff>
    </xdr:from>
    <xdr:to>
      <xdr:col>15</xdr:col>
      <xdr:colOff>558952</xdr:colOff>
      <xdr:row>62</xdr:row>
      <xdr:rowOff>18181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4F57F1C-F345-4666-8F1B-7BBC750A9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81550" y="704849"/>
          <a:ext cx="4111777" cy="49330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73E80-4CC9-428F-9BD3-FB3E63BA5A58}">
  <sheetPr codeName="Sheet1"/>
  <dimension ref="A1:G23"/>
  <sheetViews>
    <sheetView tabSelected="1" workbookViewId="0">
      <selection activeCell="C5" sqref="C5"/>
    </sheetView>
  </sheetViews>
  <sheetFormatPr defaultRowHeight="15" x14ac:dyDescent="0.25"/>
  <cols>
    <col min="1" max="1" width="3.7109375" bestFit="1" customWidth="1"/>
    <col min="2" max="2" width="20.7109375" customWidth="1"/>
    <col min="5" max="5" width="32.5703125" customWidth="1"/>
  </cols>
  <sheetData>
    <row r="1" spans="1:7" x14ac:dyDescent="0.25">
      <c r="A1" s="264" t="s">
        <v>48</v>
      </c>
      <c r="B1" s="264"/>
      <c r="C1" s="264"/>
      <c r="D1" s="264"/>
      <c r="E1" s="264"/>
      <c r="F1" s="264"/>
      <c r="G1" s="264"/>
    </row>
    <row r="3" spans="1:7" x14ac:dyDescent="0.25">
      <c r="B3" t="s">
        <v>55</v>
      </c>
      <c r="C3">
        <v>9</v>
      </c>
    </row>
    <row r="4" spans="1:7" x14ac:dyDescent="0.25">
      <c r="B4" t="s">
        <v>56</v>
      </c>
    </row>
    <row r="7" spans="1:7" x14ac:dyDescent="0.25">
      <c r="B7" s="266" t="s">
        <v>45</v>
      </c>
      <c r="C7" s="264" t="s">
        <v>46</v>
      </c>
      <c r="D7" s="264"/>
      <c r="E7" s="266" t="s">
        <v>47</v>
      </c>
    </row>
    <row r="8" spans="1:7" x14ac:dyDescent="0.25">
      <c r="B8" s="266"/>
      <c r="C8" s="42" t="s">
        <v>52</v>
      </c>
      <c r="D8" s="42" t="s">
        <v>53</v>
      </c>
      <c r="E8" s="266"/>
    </row>
    <row r="9" spans="1:7" x14ac:dyDescent="0.25">
      <c r="A9" s="265" t="s">
        <v>43</v>
      </c>
      <c r="B9" s="42" t="s">
        <v>54</v>
      </c>
      <c r="C9" s="43">
        <f>CONVERT(D9,"m","ft")</f>
        <v>94.560367454068242</v>
      </c>
      <c r="D9" s="44">
        <v>28.821999999999999</v>
      </c>
      <c r="E9" s="41"/>
    </row>
    <row r="10" spans="1:7" ht="15" customHeight="1" x14ac:dyDescent="0.25">
      <c r="A10" s="265"/>
      <c r="B10" s="42" t="s">
        <v>49</v>
      </c>
      <c r="C10" s="43">
        <f t="shared" ref="C10:C18" si="0">CONVERT(D10,"m","ft")</f>
        <v>85.249343832021012</v>
      </c>
      <c r="D10" s="45">
        <v>25.984000000000002</v>
      </c>
    </row>
    <row r="11" spans="1:7" x14ac:dyDescent="0.25">
      <c r="A11" s="265"/>
      <c r="B11" s="42" t="s">
        <v>50</v>
      </c>
      <c r="C11" s="43">
        <f t="shared" si="0"/>
        <v>73.500656167979002</v>
      </c>
      <c r="D11" s="45">
        <v>22.402999999999999</v>
      </c>
    </row>
    <row r="12" spans="1:7" x14ac:dyDescent="0.25">
      <c r="A12" s="265"/>
      <c r="B12" s="42">
        <v>6</v>
      </c>
      <c r="C12" s="43">
        <f t="shared" si="0"/>
        <v>63.500656167979002</v>
      </c>
      <c r="D12" s="45">
        <v>19.355</v>
      </c>
    </row>
    <row r="13" spans="1:7" x14ac:dyDescent="0.25">
      <c r="A13" s="265"/>
      <c r="B13" s="42">
        <v>5</v>
      </c>
      <c r="C13" s="43">
        <f t="shared" si="0"/>
        <v>53.500656167979002</v>
      </c>
      <c r="D13" s="45">
        <v>16.306999999999999</v>
      </c>
    </row>
    <row r="14" spans="1:7" x14ac:dyDescent="0.25">
      <c r="A14" s="265"/>
      <c r="B14" s="42">
        <v>4</v>
      </c>
      <c r="C14" s="43">
        <f t="shared" si="0"/>
        <v>43.500656167979002</v>
      </c>
      <c r="D14" s="45">
        <v>13.259</v>
      </c>
    </row>
    <row r="15" spans="1:7" x14ac:dyDescent="0.25">
      <c r="A15" s="265"/>
      <c r="B15" s="42">
        <v>3</v>
      </c>
      <c r="C15" s="43">
        <f t="shared" si="0"/>
        <v>33.500656167979002</v>
      </c>
      <c r="D15" s="45">
        <v>10.211</v>
      </c>
    </row>
    <row r="16" spans="1:7" x14ac:dyDescent="0.25">
      <c r="A16" s="265"/>
      <c r="B16" s="42">
        <v>2</v>
      </c>
      <c r="C16" s="43">
        <f t="shared" si="0"/>
        <v>23.500656167979002</v>
      </c>
      <c r="D16" s="45">
        <v>7.1630000000000003</v>
      </c>
    </row>
    <row r="17" spans="1:4" x14ac:dyDescent="0.25">
      <c r="A17" s="265"/>
      <c r="B17" s="42">
        <v>1</v>
      </c>
      <c r="C17" s="43">
        <f t="shared" si="0"/>
        <v>13.500656167979002</v>
      </c>
      <c r="D17" s="45">
        <v>4.1150000000000002</v>
      </c>
    </row>
    <row r="18" spans="1:4" x14ac:dyDescent="0.25">
      <c r="A18" s="42" t="s">
        <v>44</v>
      </c>
      <c r="B18" s="42" t="s">
        <v>51</v>
      </c>
      <c r="C18" s="43">
        <f t="shared" si="0"/>
        <v>0</v>
      </c>
      <c r="D18" s="45">
        <v>0</v>
      </c>
    </row>
    <row r="19" spans="1:4" x14ac:dyDescent="0.25">
      <c r="A19" s="265" t="s">
        <v>42</v>
      </c>
    </row>
    <row r="20" spans="1:4" x14ac:dyDescent="0.25">
      <c r="A20" s="265"/>
    </row>
    <row r="21" spans="1:4" x14ac:dyDescent="0.25">
      <c r="A21" s="265"/>
    </row>
    <row r="22" spans="1:4" x14ac:dyDescent="0.25">
      <c r="A22" s="265"/>
    </row>
    <row r="23" spans="1:4" x14ac:dyDescent="0.25">
      <c r="A23" s="265"/>
    </row>
  </sheetData>
  <mergeCells count="6">
    <mergeCell ref="A1:G1"/>
    <mergeCell ref="A19:A23"/>
    <mergeCell ref="B7:B8"/>
    <mergeCell ref="C7:D7"/>
    <mergeCell ref="A9:A17"/>
    <mergeCell ref="E7:E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9B223-6711-43BD-BAF2-956337F84B09}">
  <sheetPr codeName="Sheet2"/>
  <dimension ref="A1:U92"/>
  <sheetViews>
    <sheetView topLeftCell="A46" workbookViewId="0">
      <selection activeCell="J71" sqref="J71"/>
    </sheetView>
  </sheetViews>
  <sheetFormatPr defaultRowHeight="12.75" x14ac:dyDescent="0.25"/>
  <cols>
    <col min="1" max="1" width="38.85546875" style="1" bestFit="1" customWidth="1"/>
    <col min="2" max="2" width="5" style="23" bestFit="1" customWidth="1"/>
    <col min="3" max="3" width="9.85546875" style="1" bestFit="1" customWidth="1"/>
    <col min="4" max="4" width="11.28515625" style="1" bestFit="1" customWidth="1"/>
    <col min="5" max="5" width="9.85546875" style="1" customWidth="1"/>
    <col min="6" max="6" width="11.28515625" style="1" bestFit="1" customWidth="1"/>
    <col min="7" max="7" width="9.85546875" style="1" customWidth="1"/>
    <col min="8" max="8" width="11.7109375" style="1" customWidth="1"/>
    <col min="9" max="9" width="5.85546875" style="1" customWidth="1"/>
    <col min="10" max="16" width="9.140625" style="1" customWidth="1"/>
    <col min="17" max="17" width="5.5703125" style="1" customWidth="1"/>
    <col min="18" max="18" width="5" style="1" customWidth="1"/>
    <col min="19" max="19" width="4.28515625" style="1" customWidth="1"/>
    <col min="20" max="20" width="4.7109375" style="1" customWidth="1"/>
    <col min="21" max="21" width="5.140625" style="1" customWidth="1"/>
    <col min="22" max="22" width="9.140625" style="1" customWidth="1"/>
    <col min="23" max="16384" width="9.140625" style="1"/>
  </cols>
  <sheetData>
    <row r="1" spans="1:7" x14ac:dyDescent="0.25">
      <c r="A1" s="3" t="str">
        <f>'Building Information'!A1</f>
        <v>20-Q061 331 COOPER</v>
      </c>
      <c r="B1" s="1"/>
    </row>
    <row r="2" spans="1:7" x14ac:dyDescent="0.25">
      <c r="A2" s="3"/>
    </row>
    <row r="3" spans="1:7" x14ac:dyDescent="0.25">
      <c r="A3" s="3" t="s">
        <v>40</v>
      </c>
      <c r="B3" s="23" t="s">
        <v>0</v>
      </c>
      <c r="C3" s="46" t="e">
        <f>H71</f>
        <v>#N/A</v>
      </c>
      <c r="D3" s="46"/>
      <c r="E3" s="46"/>
      <c r="F3" s="46"/>
      <c r="G3" s="46"/>
    </row>
    <row r="4" spans="1:7" x14ac:dyDescent="0.25">
      <c r="A4" s="3" t="s">
        <v>41</v>
      </c>
      <c r="B4" s="23" t="s">
        <v>37</v>
      </c>
    </row>
    <row r="5" spans="1:7" x14ac:dyDescent="0.25">
      <c r="A5" s="3"/>
    </row>
    <row r="6" spans="1:7" x14ac:dyDescent="0.25">
      <c r="A6" s="3" t="s">
        <v>57</v>
      </c>
    </row>
    <row r="7" spans="1:7" x14ac:dyDescent="0.25">
      <c r="A7" s="3"/>
    </row>
    <row r="8" spans="1:7" x14ac:dyDescent="0.25">
      <c r="A8" s="3"/>
    </row>
    <row r="9" spans="1:7" x14ac:dyDescent="0.25">
      <c r="A9" s="3"/>
    </row>
    <row r="10" spans="1:7" x14ac:dyDescent="0.25">
      <c r="A10" s="3"/>
    </row>
    <row r="11" spans="1:7" x14ac:dyDescent="0.25">
      <c r="A11" s="3"/>
    </row>
    <row r="12" spans="1:7" x14ac:dyDescent="0.25">
      <c r="A12" s="3"/>
    </row>
    <row r="13" spans="1:7" x14ac:dyDescent="0.25">
      <c r="A13" s="3"/>
    </row>
    <row r="14" spans="1:7" x14ac:dyDescent="0.25">
      <c r="A14" s="3"/>
    </row>
    <row r="15" spans="1:7" x14ac:dyDescent="0.25">
      <c r="A15" s="3"/>
    </row>
    <row r="16" spans="1:7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21" x14ac:dyDescent="0.2">
      <c r="A33" s="4"/>
      <c r="Q33" s="2" t="s">
        <v>12</v>
      </c>
      <c r="R33" s="2" t="s">
        <v>0</v>
      </c>
      <c r="T33" s="5" t="s">
        <v>0</v>
      </c>
      <c r="U33" s="5" t="s">
        <v>2</v>
      </c>
    </row>
    <row r="34" spans="1:21" ht="15.75" x14ac:dyDescent="0.2">
      <c r="A34" s="32" t="s">
        <v>33</v>
      </c>
      <c r="Q34" s="2">
        <v>1</v>
      </c>
      <c r="R34" s="2">
        <v>3</v>
      </c>
      <c r="T34" s="5">
        <v>1.7</v>
      </c>
      <c r="U34" s="5">
        <v>0.5</v>
      </c>
    </row>
    <row r="35" spans="1:21" ht="13.5" thickBot="1" x14ac:dyDescent="0.25">
      <c r="A35" s="3"/>
      <c r="Q35" s="2">
        <v>2</v>
      </c>
      <c r="R35" s="2">
        <v>5</v>
      </c>
      <c r="T35" s="5">
        <v>3.5</v>
      </c>
      <c r="U35" s="5">
        <v>0.75</v>
      </c>
    </row>
    <row r="36" spans="1:21" ht="15.75" x14ac:dyDescent="0.2">
      <c r="A36" s="29" t="s">
        <v>13</v>
      </c>
      <c r="B36" s="30"/>
      <c r="C36" s="30"/>
      <c r="D36" s="30"/>
      <c r="E36" s="30"/>
      <c r="F36" s="30"/>
      <c r="G36" s="30"/>
      <c r="H36" s="31"/>
      <c r="Q36" s="2">
        <v>4</v>
      </c>
      <c r="R36" s="2">
        <v>8</v>
      </c>
      <c r="T36" s="5">
        <v>7</v>
      </c>
      <c r="U36" s="5">
        <v>1</v>
      </c>
    </row>
    <row r="37" spans="1:21" ht="26.25" thickBot="1" x14ac:dyDescent="0.25">
      <c r="A37" s="12" t="s">
        <v>15</v>
      </c>
      <c r="B37" s="19" t="s">
        <v>4</v>
      </c>
      <c r="C37" s="240" t="s">
        <v>282</v>
      </c>
      <c r="D37" s="240" t="s">
        <v>284</v>
      </c>
      <c r="E37" s="240" t="s">
        <v>283</v>
      </c>
      <c r="F37" s="240" t="s">
        <v>285</v>
      </c>
      <c r="G37" s="40" t="s">
        <v>281</v>
      </c>
      <c r="H37" s="16" t="s">
        <v>3</v>
      </c>
      <c r="Q37" s="2">
        <v>8</v>
      </c>
      <c r="R37" s="2">
        <v>12.8</v>
      </c>
      <c r="T37" s="5">
        <v>14</v>
      </c>
      <c r="U37" s="5">
        <v>1.25</v>
      </c>
    </row>
    <row r="38" spans="1:21" x14ac:dyDescent="0.2">
      <c r="A38" s="13" t="s">
        <v>14</v>
      </c>
      <c r="B38" s="24"/>
      <c r="C38" s="241"/>
      <c r="D38" s="241"/>
      <c r="E38" s="241"/>
      <c r="F38" s="241"/>
      <c r="G38" s="14"/>
      <c r="H38" s="15"/>
      <c r="Q38" s="2">
        <v>15</v>
      </c>
      <c r="R38" s="2">
        <v>17.5</v>
      </c>
      <c r="T38" s="5">
        <v>20</v>
      </c>
      <c r="U38" s="5">
        <v>1.5</v>
      </c>
    </row>
    <row r="39" spans="1:21" x14ac:dyDescent="0.2">
      <c r="A39" s="9" t="s">
        <v>17</v>
      </c>
      <c r="B39" s="20">
        <v>0</v>
      </c>
      <c r="C39" s="242">
        <v>2.7</v>
      </c>
      <c r="D39" s="242">
        <f>B39*C39</f>
        <v>0</v>
      </c>
      <c r="E39" s="242">
        <v>1.5</v>
      </c>
      <c r="F39" s="242">
        <f>B39*E39</f>
        <v>0</v>
      </c>
      <c r="G39" s="6">
        <v>3.6</v>
      </c>
      <c r="H39" s="10">
        <f>B39*G39</f>
        <v>0</v>
      </c>
      <c r="Q39" s="2">
        <v>30</v>
      </c>
      <c r="R39" s="2">
        <v>23.3</v>
      </c>
      <c r="T39" s="5">
        <v>40</v>
      </c>
      <c r="U39" s="5">
        <v>2</v>
      </c>
    </row>
    <row r="40" spans="1:21" x14ac:dyDescent="0.2">
      <c r="A40" s="9" t="s">
        <v>16</v>
      </c>
      <c r="B40" s="21">
        <v>0</v>
      </c>
      <c r="C40" s="243">
        <v>2.7</v>
      </c>
      <c r="D40" s="242">
        <f t="shared" ref="D40:D43" si="0">B40*C40</f>
        <v>0</v>
      </c>
      <c r="E40" s="243">
        <v>1.5</v>
      </c>
      <c r="F40" s="242">
        <f t="shared" ref="F40:F43" si="1">B40*E40</f>
        <v>0</v>
      </c>
      <c r="G40" s="7">
        <v>3.1</v>
      </c>
      <c r="H40" s="10">
        <f>B40*G40</f>
        <v>0</v>
      </c>
      <c r="Q40" s="2">
        <v>50</v>
      </c>
      <c r="R40" s="2">
        <v>29.1</v>
      </c>
      <c r="T40" s="5">
        <v>75</v>
      </c>
      <c r="U40" s="5">
        <v>2.5</v>
      </c>
    </row>
    <row r="41" spans="1:21" x14ac:dyDescent="0.2">
      <c r="A41" s="9" t="s">
        <v>5</v>
      </c>
      <c r="B41" s="20">
        <v>0</v>
      </c>
      <c r="C41" s="243">
        <v>1</v>
      </c>
      <c r="D41" s="242">
        <f t="shared" si="0"/>
        <v>0</v>
      </c>
      <c r="E41" s="243">
        <v>1</v>
      </c>
      <c r="F41" s="242">
        <f t="shared" si="1"/>
        <v>0</v>
      </c>
      <c r="G41" s="7">
        <v>1.4</v>
      </c>
      <c r="H41" s="10">
        <f>B41*G41</f>
        <v>0</v>
      </c>
      <c r="Q41" s="2">
        <v>60</v>
      </c>
      <c r="R41" s="2">
        <v>33</v>
      </c>
      <c r="T41" s="5">
        <v>120</v>
      </c>
      <c r="U41" s="5">
        <v>3</v>
      </c>
    </row>
    <row r="42" spans="1:21" x14ac:dyDescent="0.2">
      <c r="A42" s="9" t="s">
        <v>6</v>
      </c>
      <c r="B42" s="21">
        <v>0</v>
      </c>
      <c r="C42" s="243">
        <v>0</v>
      </c>
      <c r="D42" s="242">
        <f t="shared" si="0"/>
        <v>0</v>
      </c>
      <c r="E42" s="243">
        <v>1.4</v>
      </c>
      <c r="F42" s="242">
        <f t="shared" si="1"/>
        <v>0</v>
      </c>
      <c r="G42" s="7">
        <v>1.4</v>
      </c>
      <c r="H42" s="10">
        <f>B42*G42</f>
        <v>0</v>
      </c>
      <c r="Q42" s="2">
        <v>70</v>
      </c>
      <c r="R42" s="2">
        <v>37</v>
      </c>
      <c r="T42" s="5">
        <v>250</v>
      </c>
      <c r="U42" s="5">
        <v>4</v>
      </c>
    </row>
    <row r="43" spans="1:21" x14ac:dyDescent="0.2">
      <c r="A43" s="9" t="s">
        <v>7</v>
      </c>
      <c r="B43" s="20">
        <v>0</v>
      </c>
      <c r="C43" s="242">
        <v>1</v>
      </c>
      <c r="D43" s="242">
        <f t="shared" si="0"/>
        <v>0</v>
      </c>
      <c r="E43" s="242">
        <v>1</v>
      </c>
      <c r="F43" s="242">
        <f t="shared" si="1"/>
        <v>0</v>
      </c>
      <c r="G43" s="6">
        <v>1.4</v>
      </c>
      <c r="H43" s="10">
        <f>B43*G43</f>
        <v>0</v>
      </c>
      <c r="Q43" s="2">
        <v>80</v>
      </c>
      <c r="R43" s="2">
        <v>40</v>
      </c>
      <c r="T43" s="5">
        <v>750</v>
      </c>
      <c r="U43" s="5">
        <v>6</v>
      </c>
    </row>
    <row r="44" spans="1:21" ht="13.5" thickBot="1" x14ac:dyDescent="0.3">
      <c r="A44" s="17" t="s">
        <v>29</v>
      </c>
      <c r="B44" s="25"/>
      <c r="C44" s="244"/>
      <c r="D44" s="257">
        <f>SUM(D39:D43)</f>
        <v>0</v>
      </c>
      <c r="E44" s="258"/>
      <c r="F44" s="257">
        <f>SUM(F39:F43)</f>
        <v>0</v>
      </c>
      <c r="G44" s="256"/>
      <c r="H44" s="18">
        <f>SUM(H39:H43)</f>
        <v>0</v>
      </c>
      <c r="Q44" s="2">
        <v>90</v>
      </c>
      <c r="R44" s="2">
        <v>42</v>
      </c>
    </row>
    <row r="45" spans="1:21" x14ac:dyDescent="0.25">
      <c r="A45" s="13" t="s">
        <v>19</v>
      </c>
      <c r="B45" s="24"/>
      <c r="C45" s="241"/>
      <c r="D45" s="241"/>
      <c r="E45" s="241"/>
      <c r="F45" s="241"/>
      <c r="G45" s="14"/>
      <c r="H45" s="15"/>
      <c r="Q45" s="2">
        <v>100</v>
      </c>
      <c r="R45" s="2">
        <v>45</v>
      </c>
    </row>
    <row r="46" spans="1:21" x14ac:dyDescent="0.25">
      <c r="A46" s="9" t="s">
        <v>17</v>
      </c>
      <c r="B46" s="20">
        <v>0</v>
      </c>
      <c r="C46" s="242">
        <v>2.7</v>
      </c>
      <c r="D46" s="242">
        <f>B46*C46</f>
        <v>0</v>
      </c>
      <c r="E46" s="242">
        <v>1.5</v>
      </c>
      <c r="F46" s="242">
        <f>B46*E46</f>
        <v>0</v>
      </c>
      <c r="G46" s="6">
        <v>3.6</v>
      </c>
      <c r="H46" s="10">
        <f t="shared" ref="H46:H55" si="2">B46*G46</f>
        <v>0</v>
      </c>
      <c r="Q46" s="2">
        <v>110</v>
      </c>
      <c r="R46" s="2">
        <v>47</v>
      </c>
    </row>
    <row r="47" spans="1:21" x14ac:dyDescent="0.25">
      <c r="A47" s="9" t="s">
        <v>16</v>
      </c>
      <c r="B47" s="21">
        <v>0</v>
      </c>
      <c r="C47" s="243">
        <v>2.7</v>
      </c>
      <c r="D47" s="242">
        <f t="shared" ref="D47:D55" si="3">B47*C47</f>
        <v>0</v>
      </c>
      <c r="E47" s="243">
        <v>1.5</v>
      </c>
      <c r="F47" s="242">
        <f t="shared" ref="F47:F55" si="4">B47*E47</f>
        <v>0</v>
      </c>
      <c r="G47" s="7">
        <f>2.2+0.9</f>
        <v>3.1</v>
      </c>
      <c r="H47" s="10">
        <f t="shared" si="2"/>
        <v>0</v>
      </c>
      <c r="Q47" s="2">
        <v>120</v>
      </c>
      <c r="R47" s="2">
        <v>49</v>
      </c>
    </row>
    <row r="48" spans="1:21" x14ac:dyDescent="0.25">
      <c r="A48" s="9" t="s">
        <v>20</v>
      </c>
      <c r="B48" s="20">
        <v>0</v>
      </c>
      <c r="C48" s="243">
        <v>1.5</v>
      </c>
      <c r="D48" s="242">
        <f t="shared" si="3"/>
        <v>0</v>
      </c>
      <c r="E48" s="243">
        <v>1.5</v>
      </c>
      <c r="F48" s="242">
        <f t="shared" si="4"/>
        <v>0</v>
      </c>
      <c r="G48" s="7">
        <v>3</v>
      </c>
      <c r="H48" s="10">
        <f t="shared" si="2"/>
        <v>0</v>
      </c>
      <c r="Q48" s="2">
        <v>130</v>
      </c>
      <c r="R48" s="2">
        <v>51</v>
      </c>
    </row>
    <row r="49" spans="1:18" x14ac:dyDescent="0.25">
      <c r="A49" s="9" t="s">
        <v>5</v>
      </c>
      <c r="B49" s="20">
        <v>0</v>
      </c>
      <c r="C49" s="243">
        <v>3</v>
      </c>
      <c r="D49" s="242">
        <f t="shared" si="3"/>
        <v>0</v>
      </c>
      <c r="E49" s="243">
        <v>3</v>
      </c>
      <c r="F49" s="242">
        <f t="shared" si="4"/>
        <v>0</v>
      </c>
      <c r="G49" s="7">
        <v>4</v>
      </c>
      <c r="H49" s="10">
        <f t="shared" si="2"/>
        <v>0</v>
      </c>
      <c r="Q49" s="2">
        <v>140</v>
      </c>
      <c r="R49" s="2">
        <v>53</v>
      </c>
    </row>
    <row r="50" spans="1:18" x14ac:dyDescent="0.25">
      <c r="A50" s="9" t="s">
        <v>6</v>
      </c>
      <c r="B50" s="21">
        <v>0</v>
      </c>
      <c r="C50" s="243">
        <v>0</v>
      </c>
      <c r="D50" s="242">
        <f t="shared" si="3"/>
        <v>0</v>
      </c>
      <c r="E50" s="243">
        <v>1.4</v>
      </c>
      <c r="F50" s="242">
        <f t="shared" si="4"/>
        <v>0</v>
      </c>
      <c r="G50" s="7">
        <v>1.4</v>
      </c>
      <c r="H50" s="10">
        <f t="shared" si="2"/>
        <v>0</v>
      </c>
      <c r="Q50" s="2">
        <v>150</v>
      </c>
      <c r="R50" s="2">
        <v>55</v>
      </c>
    </row>
    <row r="51" spans="1:18" x14ac:dyDescent="0.25">
      <c r="A51" s="9" t="s">
        <v>7</v>
      </c>
      <c r="B51" s="20">
        <v>0</v>
      </c>
      <c r="C51" s="242">
        <v>3</v>
      </c>
      <c r="D51" s="242">
        <f t="shared" si="3"/>
        <v>0</v>
      </c>
      <c r="E51" s="242">
        <v>3</v>
      </c>
      <c r="F51" s="242">
        <f t="shared" si="4"/>
        <v>0</v>
      </c>
      <c r="G51" s="6">
        <v>4</v>
      </c>
      <c r="H51" s="10">
        <f t="shared" si="2"/>
        <v>0</v>
      </c>
      <c r="Q51" s="2">
        <v>160</v>
      </c>
      <c r="R51" s="2">
        <v>58</v>
      </c>
    </row>
    <row r="52" spans="1:18" x14ac:dyDescent="0.25">
      <c r="A52" s="9" t="s">
        <v>8</v>
      </c>
      <c r="B52" s="20">
        <v>0</v>
      </c>
      <c r="C52" s="242">
        <v>2.5</v>
      </c>
      <c r="D52" s="242">
        <f t="shared" si="3"/>
        <v>0</v>
      </c>
      <c r="E52" s="242">
        <v>0</v>
      </c>
      <c r="F52" s="242">
        <f t="shared" si="4"/>
        <v>0</v>
      </c>
      <c r="G52" s="6">
        <v>2.5</v>
      </c>
      <c r="H52" s="10">
        <f t="shared" si="2"/>
        <v>0</v>
      </c>
      <c r="Q52" s="2">
        <v>170</v>
      </c>
      <c r="R52" s="2">
        <v>60</v>
      </c>
    </row>
    <row r="53" spans="1:18" x14ac:dyDescent="0.25">
      <c r="A53" s="9" t="s">
        <v>9</v>
      </c>
      <c r="B53" s="22">
        <v>0</v>
      </c>
      <c r="C53" s="245">
        <v>3</v>
      </c>
      <c r="D53" s="242">
        <f t="shared" si="3"/>
        <v>0</v>
      </c>
      <c r="E53" s="245">
        <v>0</v>
      </c>
      <c r="F53" s="242">
        <f t="shared" si="4"/>
        <v>0</v>
      </c>
      <c r="G53" s="8">
        <v>3</v>
      </c>
      <c r="H53" s="10">
        <f t="shared" si="2"/>
        <v>0</v>
      </c>
      <c r="Q53" s="2">
        <v>180</v>
      </c>
      <c r="R53" s="2">
        <v>62</v>
      </c>
    </row>
    <row r="54" spans="1:18" x14ac:dyDescent="0.25">
      <c r="A54" s="9" t="s">
        <v>10</v>
      </c>
      <c r="B54" s="22">
        <v>0</v>
      </c>
      <c r="C54" s="245">
        <v>2.25</v>
      </c>
      <c r="D54" s="242">
        <f t="shared" si="3"/>
        <v>0</v>
      </c>
      <c r="E54" s="245">
        <v>2.25</v>
      </c>
      <c r="F54" s="242">
        <f t="shared" si="4"/>
        <v>0</v>
      </c>
      <c r="G54" s="8">
        <v>3</v>
      </c>
      <c r="H54" s="10">
        <f t="shared" si="2"/>
        <v>0</v>
      </c>
      <c r="Q54" s="2">
        <v>190</v>
      </c>
      <c r="R54" s="2">
        <v>65</v>
      </c>
    </row>
    <row r="55" spans="1:18" x14ac:dyDescent="0.25">
      <c r="A55" s="9" t="s">
        <v>11</v>
      </c>
      <c r="B55" s="22">
        <v>0</v>
      </c>
      <c r="C55" s="245">
        <v>1.5</v>
      </c>
      <c r="D55" s="242">
        <f t="shared" si="3"/>
        <v>0</v>
      </c>
      <c r="E55" s="245">
        <v>1.5</v>
      </c>
      <c r="F55" s="242">
        <f t="shared" si="4"/>
        <v>0</v>
      </c>
      <c r="G55" s="8">
        <v>2</v>
      </c>
      <c r="H55" s="10">
        <f t="shared" si="2"/>
        <v>0</v>
      </c>
      <c r="Q55" s="2">
        <v>200</v>
      </c>
      <c r="R55" s="2">
        <v>67</v>
      </c>
    </row>
    <row r="56" spans="1:18" ht="13.5" thickBot="1" x14ac:dyDescent="0.3">
      <c r="A56" s="17" t="s">
        <v>30</v>
      </c>
      <c r="B56" s="25" t="s">
        <v>286</v>
      </c>
      <c r="C56" s="261" t="s">
        <v>286</v>
      </c>
      <c r="D56" s="259">
        <f>SUM(D46:D55)</f>
        <v>0</v>
      </c>
      <c r="E56" s="261" t="s">
        <v>286</v>
      </c>
      <c r="F56" s="259">
        <f>SUM(F46:F55)</f>
        <v>0</v>
      </c>
      <c r="G56" s="259" t="s">
        <v>286</v>
      </c>
      <c r="H56" s="18">
        <f>SUM(H46:H55)</f>
        <v>0</v>
      </c>
      <c r="Q56" s="2">
        <v>210</v>
      </c>
      <c r="R56" s="2">
        <v>68.5</v>
      </c>
    </row>
    <row r="57" spans="1:18" x14ac:dyDescent="0.25">
      <c r="A57" s="13" t="s">
        <v>18</v>
      </c>
      <c r="B57" s="24"/>
      <c r="C57" s="241"/>
      <c r="D57" s="241"/>
      <c r="E57" s="241"/>
      <c r="F57" s="241"/>
      <c r="G57" s="14"/>
      <c r="H57" s="15"/>
      <c r="Q57" s="2">
        <v>220</v>
      </c>
      <c r="R57" s="2">
        <v>70</v>
      </c>
    </row>
    <row r="58" spans="1:18" x14ac:dyDescent="0.25">
      <c r="A58" s="11" t="s">
        <v>21</v>
      </c>
      <c r="B58" s="26">
        <v>0</v>
      </c>
      <c r="C58" s="253"/>
      <c r="D58" s="253"/>
      <c r="E58" s="253"/>
      <c r="F58" s="253"/>
      <c r="G58" s="254">
        <v>1.5</v>
      </c>
      <c r="H58" s="255">
        <f t="shared" ref="H58:H66" si="5">B58*G58</f>
        <v>0</v>
      </c>
      <c r="Q58" s="2">
        <v>230</v>
      </c>
      <c r="R58" s="2">
        <v>72</v>
      </c>
    </row>
    <row r="59" spans="1:18" x14ac:dyDescent="0.25">
      <c r="A59" s="11" t="s">
        <v>22</v>
      </c>
      <c r="B59" s="26">
        <v>0</v>
      </c>
      <c r="C59" s="253"/>
      <c r="D59" s="253"/>
      <c r="E59" s="253"/>
      <c r="F59" s="253"/>
      <c r="G59" s="254">
        <v>1.6</v>
      </c>
      <c r="H59" s="255">
        <f t="shared" si="5"/>
        <v>0</v>
      </c>
      <c r="Q59" s="2">
        <v>240</v>
      </c>
      <c r="R59" s="2">
        <v>75</v>
      </c>
    </row>
    <row r="60" spans="1:18" x14ac:dyDescent="0.25">
      <c r="A60" s="11" t="s">
        <v>23</v>
      </c>
      <c r="B60" s="26">
        <v>0</v>
      </c>
      <c r="C60" s="253"/>
      <c r="D60" s="253"/>
      <c r="E60" s="253"/>
      <c r="F60" s="253"/>
      <c r="G60" s="254">
        <v>0.9</v>
      </c>
      <c r="H60" s="255">
        <f t="shared" si="5"/>
        <v>0</v>
      </c>
      <c r="Q60" s="2">
        <v>250</v>
      </c>
      <c r="R60" s="2">
        <v>78</v>
      </c>
    </row>
    <row r="61" spans="1:18" x14ac:dyDescent="0.25">
      <c r="A61" s="11" t="s">
        <v>24</v>
      </c>
      <c r="B61" s="26">
        <v>0</v>
      </c>
      <c r="C61" s="253"/>
      <c r="D61" s="253"/>
      <c r="E61" s="253"/>
      <c r="F61" s="253"/>
      <c r="G61" s="254">
        <v>1.6</v>
      </c>
      <c r="H61" s="255">
        <f t="shared" si="5"/>
        <v>0</v>
      </c>
      <c r="Q61" s="2">
        <v>300</v>
      </c>
      <c r="R61" s="2">
        <v>80</v>
      </c>
    </row>
    <row r="62" spans="1:18" x14ac:dyDescent="0.25">
      <c r="A62" s="11" t="s">
        <v>25</v>
      </c>
      <c r="B62" s="26">
        <v>0</v>
      </c>
      <c r="C62" s="253"/>
      <c r="D62" s="253"/>
      <c r="E62" s="253"/>
      <c r="F62" s="253"/>
      <c r="G62" s="254">
        <v>1.5</v>
      </c>
      <c r="H62" s="255">
        <f t="shared" si="5"/>
        <v>0</v>
      </c>
      <c r="Q62" s="2">
        <v>400</v>
      </c>
      <c r="R62" s="2">
        <v>110</v>
      </c>
    </row>
    <row r="63" spans="1:18" x14ac:dyDescent="0.25">
      <c r="A63" s="11" t="s">
        <v>26</v>
      </c>
      <c r="B63" s="26">
        <v>0</v>
      </c>
      <c r="C63" s="253"/>
      <c r="D63" s="253"/>
      <c r="E63" s="253"/>
      <c r="F63" s="253"/>
      <c r="G63" s="254">
        <v>1.6</v>
      </c>
      <c r="H63" s="255">
        <f t="shared" si="5"/>
        <v>0</v>
      </c>
      <c r="Q63" s="2">
        <v>500</v>
      </c>
      <c r="R63" s="2">
        <v>125</v>
      </c>
    </row>
    <row r="64" spans="1:18" x14ac:dyDescent="0.25">
      <c r="A64" s="11" t="s">
        <v>27</v>
      </c>
      <c r="B64" s="26">
        <v>0</v>
      </c>
      <c r="C64" s="253"/>
      <c r="D64" s="253"/>
      <c r="E64" s="253"/>
      <c r="F64" s="253"/>
      <c r="G64" s="254">
        <v>7.0000000000000007E-2</v>
      </c>
      <c r="H64" s="255">
        <f t="shared" si="5"/>
        <v>0</v>
      </c>
      <c r="Q64" s="2">
        <v>600</v>
      </c>
      <c r="R64" s="2">
        <v>150</v>
      </c>
    </row>
    <row r="65" spans="1:18" x14ac:dyDescent="0.25">
      <c r="A65" s="11" t="s">
        <v>28</v>
      </c>
      <c r="B65" s="26">
        <v>0</v>
      </c>
      <c r="C65" s="253"/>
      <c r="D65" s="253"/>
      <c r="E65" s="253"/>
      <c r="F65" s="253"/>
      <c r="G65" s="254">
        <v>1.5</v>
      </c>
      <c r="H65" s="255">
        <f t="shared" si="5"/>
        <v>0</v>
      </c>
      <c r="Q65" s="2">
        <v>700</v>
      </c>
      <c r="R65" s="2">
        <v>170</v>
      </c>
    </row>
    <row r="66" spans="1:18" x14ac:dyDescent="0.25">
      <c r="A66" s="9" t="s">
        <v>16</v>
      </c>
      <c r="B66" s="21">
        <v>0</v>
      </c>
      <c r="C66" s="243"/>
      <c r="D66" s="243"/>
      <c r="E66" s="243"/>
      <c r="F66" s="243"/>
      <c r="G66" s="7">
        <f>2.2+0.9</f>
        <v>3.1</v>
      </c>
      <c r="H66" s="10">
        <f t="shared" si="5"/>
        <v>0</v>
      </c>
      <c r="Q66" s="2">
        <v>800</v>
      </c>
      <c r="R66" s="2">
        <v>180</v>
      </c>
    </row>
    <row r="67" spans="1:18" ht="13.5" thickBot="1" x14ac:dyDescent="0.3">
      <c r="A67" s="17" t="s">
        <v>31</v>
      </c>
      <c r="B67" s="25"/>
      <c r="C67" s="247"/>
      <c r="D67" s="247"/>
      <c r="E67" s="247"/>
      <c r="F67" s="247"/>
      <c r="G67" s="260" t="s">
        <v>286</v>
      </c>
      <c r="H67" s="18">
        <f>SUM(H58:H66)</f>
        <v>0</v>
      </c>
      <c r="Q67" s="2">
        <v>900</v>
      </c>
      <c r="R67" s="2">
        <v>200</v>
      </c>
    </row>
    <row r="68" spans="1:18" ht="13.5" thickBot="1" x14ac:dyDescent="0.3">
      <c r="A68" s="27" t="s">
        <v>34</v>
      </c>
      <c r="B68" s="28"/>
      <c r="C68" s="248" t="s">
        <v>32</v>
      </c>
      <c r="D68" s="250">
        <f>D44+D67+D56</f>
        <v>0</v>
      </c>
      <c r="E68" s="250" t="s">
        <v>286</v>
      </c>
      <c r="F68" s="246">
        <f>F44+F67+F56</f>
        <v>0</v>
      </c>
      <c r="G68" s="246" t="s">
        <v>286</v>
      </c>
      <c r="H68" s="246">
        <f>H44+H67+H56</f>
        <v>0</v>
      </c>
      <c r="Q68" s="2">
        <v>1000</v>
      </c>
      <c r="R68" s="2">
        <v>220</v>
      </c>
    </row>
    <row r="69" spans="1:18" ht="15.75" customHeight="1" thickBot="1" x14ac:dyDescent="0.3">
      <c r="A69" s="27" t="s">
        <v>35</v>
      </c>
      <c r="B69" s="28"/>
      <c r="C69" s="269">
        <v>1</v>
      </c>
      <c r="D69" s="270"/>
      <c r="E69" s="270"/>
      <c r="F69" s="270"/>
      <c r="G69" s="270"/>
      <c r="H69" s="271"/>
      <c r="Q69" s="2">
        <v>1250</v>
      </c>
      <c r="R69" s="2">
        <v>250</v>
      </c>
    </row>
    <row r="70" spans="1:18" ht="13.5" thickBot="1" x14ac:dyDescent="0.3">
      <c r="A70" s="27" t="s">
        <v>36</v>
      </c>
      <c r="B70" s="28"/>
      <c r="C70" s="248" t="s">
        <v>32</v>
      </c>
      <c r="D70" s="250">
        <f>D68*$C$69</f>
        <v>0</v>
      </c>
      <c r="E70" s="250" t="s">
        <v>286</v>
      </c>
      <c r="F70" s="250">
        <f>F68*$C$69</f>
        <v>0</v>
      </c>
      <c r="G70" s="246" t="s">
        <v>286</v>
      </c>
      <c r="H70" s="250">
        <f>H68*$C$69</f>
        <v>0</v>
      </c>
      <c r="Q70" s="2">
        <v>1500</v>
      </c>
      <c r="R70" s="2">
        <v>270</v>
      </c>
    </row>
    <row r="71" spans="1:18" ht="39" customHeight="1" thickBot="1" x14ac:dyDescent="0.3">
      <c r="A71" s="267" t="s">
        <v>38</v>
      </c>
      <c r="B71" s="268"/>
      <c r="C71" s="249" t="s">
        <v>0</v>
      </c>
      <c r="D71" s="262" t="e">
        <f>FORECAST(D70,INDEX(R34:R76,MATCH(D70,Q34:Q76,1)):INDEX(R34:R76,MATCH(D70,Q34:Q76,1)+1),INDEX(Q34:Q76,MATCH(D70,Q34:Q76,1)):INDEX(Q34:Q76,MATCH(D70,Q34:Q76,1)+1))</f>
        <v>#N/A</v>
      </c>
      <c r="E71" s="251" t="s">
        <v>286</v>
      </c>
      <c r="F71" s="39" t="e">
        <f>FORECAST(F70,INDEX(R34:R76,MATCH(F70,Q34:Q76,1)):INDEX(R34:R76,MATCH(F70,Q34:Q76,1)+1),INDEX(Q34:Q76,MATCH(F70,Q34:Q76,1)):INDEX(Q34:Q76,MATCH(F70,Q34:Q76,1)+1))</f>
        <v>#N/A</v>
      </c>
      <c r="G71" s="252" t="s">
        <v>286</v>
      </c>
      <c r="H71" s="39" t="e">
        <f>FORECAST(H70,INDEX(R34:R76,MATCH(H70,Q34:Q76,1)):INDEX(R34:R76,MATCH(H70,Q34:Q76,1)+1),INDEX(Q34:Q76,MATCH(H70,Q34:Q76,1)):INDEX(Q34:Q76,MATCH(H70,Q34:Q76,1)+1))</f>
        <v>#N/A</v>
      </c>
      <c r="Q71" s="2">
        <v>1750</v>
      </c>
      <c r="R71" s="2">
        <v>300</v>
      </c>
    </row>
    <row r="72" spans="1:18" ht="29.25" thickBot="1" x14ac:dyDescent="0.3">
      <c r="A72" s="267" t="s">
        <v>39</v>
      </c>
      <c r="B72" s="268"/>
      <c r="C72" s="249" t="s">
        <v>1</v>
      </c>
      <c r="D72" s="263" t="e">
        <f>IF(AND(D71&lt;=750,D71&gt;250),6,IF(AND(D71&lt;=250,D71&gt;120),4,IF(AND(D71&lt;=120,D71&gt;75),3,IF(AND(D71&lt;=75,D71&gt;40),2.5,IF(AND(D71&lt;=40,D71&gt;20),2,IF(AND(D71&lt;=20,D71&gt;14),1.5,IF(AND(D71&lt;=14,D71&gt;7),1.25,IF(AND(D71&lt;=7,D71&gt;3.5),1,IF(AND(D71&lt;=3.5,D71&gt;1.7),0.75,0.5)))))))))</f>
        <v>#N/A</v>
      </c>
      <c r="E72" s="251" t="s">
        <v>286</v>
      </c>
      <c r="F72" s="47" t="e">
        <f>IF(AND(F71&lt;=750,F71&gt;250),6,IF(AND(F71&lt;=250,F71&gt;120),4,IF(AND(F71&lt;=120,F71&gt;75),3,IF(AND(F71&lt;=75,F71&gt;40),2.5,IF(AND(F71&lt;=40,F71&gt;20),2,IF(AND(F71&lt;=20,F71&gt;14),1.5,IF(AND(F71&lt;=14,F71&gt;7),1.25,IF(AND(F71&lt;=7,F71&gt;3.5),1,IF(AND(F71&lt;=3.5,F71&gt;1.7),0.75,0.5)))))))))</f>
        <v>#N/A</v>
      </c>
      <c r="G72" s="252" t="s">
        <v>286</v>
      </c>
      <c r="H72" s="47" t="e">
        <f>IF(AND(H71&lt;=750,H71&gt;250),6,IF(AND(H71&lt;=250,H71&gt;120),4,IF(AND(H71&lt;=120,H71&gt;75),3,IF(AND(H71&lt;=75,H71&gt;40),2.5,IF(AND(H71&lt;=40,H71&gt;20),2,IF(AND(H71&lt;=20,H71&gt;14),1.5,IF(AND(H71&lt;=14,H71&gt;7),1.25,IF(AND(H71&lt;=7,H71&gt;3.5),1,IF(AND(H71&lt;=3.5,H71&gt;1.7),0.75,0.5)))))))))</f>
        <v>#N/A</v>
      </c>
      <c r="Q72" s="2">
        <v>2000</v>
      </c>
      <c r="R72" s="2">
        <v>330</v>
      </c>
    </row>
    <row r="73" spans="1:18" x14ac:dyDescent="0.25">
      <c r="A73" s="34"/>
      <c r="B73" s="35"/>
      <c r="C73" s="36"/>
      <c r="D73" s="36"/>
      <c r="E73" s="36"/>
      <c r="F73" s="36"/>
      <c r="G73" s="36"/>
      <c r="H73" s="37"/>
      <c r="Q73" s="2">
        <v>2250</v>
      </c>
      <c r="R73" s="2">
        <v>350</v>
      </c>
    </row>
    <row r="74" spans="1:18" x14ac:dyDescent="0.25">
      <c r="A74" s="34"/>
      <c r="B74" s="35"/>
      <c r="C74" s="36"/>
      <c r="D74" s="36"/>
      <c r="E74" s="36"/>
      <c r="F74" s="36"/>
      <c r="G74" s="36"/>
      <c r="H74" s="38"/>
      <c r="Q74" s="2">
        <v>2500</v>
      </c>
      <c r="R74" s="2">
        <v>380</v>
      </c>
    </row>
    <row r="75" spans="1:18" x14ac:dyDescent="0.25">
      <c r="A75" s="34"/>
      <c r="B75" s="35"/>
      <c r="C75" s="36"/>
      <c r="D75" s="36"/>
      <c r="E75" s="36"/>
      <c r="F75" s="36"/>
      <c r="G75" s="36"/>
      <c r="H75" s="37"/>
      <c r="Q75" s="2">
        <v>2750</v>
      </c>
      <c r="R75" s="2">
        <v>400</v>
      </c>
    </row>
    <row r="76" spans="1:18" ht="15.75" customHeight="1" x14ac:dyDescent="0.25">
      <c r="A76" s="33"/>
      <c r="B76" s="33"/>
      <c r="C76" s="33"/>
      <c r="D76" s="33"/>
      <c r="E76" s="33"/>
      <c r="F76" s="33"/>
      <c r="G76" s="33"/>
      <c r="H76" s="33"/>
      <c r="Q76" s="2">
        <v>3000</v>
      </c>
      <c r="R76" s="2">
        <v>430</v>
      </c>
    </row>
    <row r="77" spans="1:18" ht="12.75" customHeight="1" x14ac:dyDescent="0.25">
      <c r="A77" s="33"/>
      <c r="B77" s="33"/>
      <c r="C77" s="33"/>
      <c r="D77" s="33"/>
      <c r="E77" s="33"/>
      <c r="F77" s="33"/>
      <c r="G77" s="33"/>
      <c r="H77" s="33"/>
    </row>
    <row r="78" spans="1:18" ht="12.75" customHeight="1" x14ac:dyDescent="0.25">
      <c r="A78" s="33"/>
      <c r="B78" s="33"/>
      <c r="C78" s="33"/>
      <c r="D78" s="33"/>
      <c r="E78" s="33"/>
      <c r="F78" s="33"/>
      <c r="G78" s="33"/>
      <c r="H78" s="33"/>
    </row>
    <row r="79" spans="1:18" ht="12.75" customHeight="1" x14ac:dyDescent="0.25">
      <c r="A79" s="33"/>
      <c r="B79" s="33"/>
      <c r="C79" s="33"/>
      <c r="D79" s="33"/>
      <c r="E79" s="33"/>
      <c r="F79" s="33"/>
      <c r="G79" s="33"/>
      <c r="H79" s="33"/>
    </row>
    <row r="80" spans="1:18" ht="12.75" customHeight="1" x14ac:dyDescent="0.25">
      <c r="A80" s="33"/>
      <c r="B80" s="33"/>
      <c r="C80" s="33"/>
      <c r="D80" s="33"/>
      <c r="E80" s="33"/>
      <c r="F80" s="33"/>
      <c r="G80" s="33"/>
      <c r="H80" s="33"/>
    </row>
    <row r="81" spans="1:8" ht="12.75" customHeight="1" x14ac:dyDescent="0.25">
      <c r="A81" s="33"/>
      <c r="B81" s="33"/>
      <c r="C81" s="33"/>
      <c r="D81" s="33"/>
      <c r="E81" s="33"/>
      <c r="F81" s="33"/>
      <c r="G81" s="33"/>
      <c r="H81" s="33"/>
    </row>
    <row r="87" spans="1:8" x14ac:dyDescent="0.25">
      <c r="B87" s="1"/>
    </row>
    <row r="88" spans="1:8" x14ac:dyDescent="0.25">
      <c r="B88" s="1"/>
    </row>
    <row r="89" spans="1:8" x14ac:dyDescent="0.25">
      <c r="B89" s="1"/>
    </row>
    <row r="90" spans="1:8" x14ac:dyDescent="0.25">
      <c r="B90" s="1"/>
    </row>
    <row r="91" spans="1:8" x14ac:dyDescent="0.25">
      <c r="B91" s="1"/>
    </row>
    <row r="92" spans="1:8" x14ac:dyDescent="0.25">
      <c r="B92" s="1"/>
    </row>
  </sheetData>
  <mergeCells count="3">
    <mergeCell ref="A71:B71"/>
    <mergeCell ref="A72:B72"/>
    <mergeCell ref="C69:H69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8BA85-2687-4DB8-AC9C-6346FE4297C0}">
  <sheetPr codeName="Sheet3"/>
  <dimension ref="A1:BQ186"/>
  <sheetViews>
    <sheetView topLeftCell="A16" zoomScale="70" zoomScaleNormal="70" workbookViewId="0">
      <selection activeCell="Z19" sqref="Z19:BQ26"/>
    </sheetView>
  </sheetViews>
  <sheetFormatPr defaultRowHeight="15" x14ac:dyDescent="0.25"/>
  <cols>
    <col min="1" max="1" width="3.85546875" customWidth="1"/>
    <col min="2" max="2" width="8.28515625" customWidth="1"/>
    <col min="3" max="20" width="6.85546875" customWidth="1"/>
    <col min="21" max="23" width="6.85546875" hidden="1" customWidth="1"/>
    <col min="24" max="24" width="3.85546875" hidden="1" customWidth="1"/>
    <col min="25" max="26" width="3.85546875" customWidth="1"/>
    <col min="27" max="33" width="8.85546875" customWidth="1"/>
    <col min="34" max="60" width="9.140625" customWidth="1"/>
  </cols>
  <sheetData>
    <row r="1" spans="3:33" ht="14.25" customHeight="1" thickBot="1" x14ac:dyDescent="0.3"/>
    <row r="2" spans="3:33" ht="18" thickBot="1" x14ac:dyDescent="0.35">
      <c r="C2" s="275" t="s">
        <v>92</v>
      </c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7"/>
    </row>
    <row r="3" spans="3:33" ht="40.5" customHeight="1" thickTop="1" x14ac:dyDescent="0.25">
      <c r="C3" s="278" t="s">
        <v>86</v>
      </c>
      <c r="D3" s="272"/>
      <c r="E3" s="49"/>
      <c r="F3" s="272" t="s">
        <v>87</v>
      </c>
      <c r="G3" s="272"/>
      <c r="H3" s="49"/>
      <c r="I3" s="272" t="s">
        <v>88</v>
      </c>
      <c r="J3" s="272"/>
      <c r="K3" s="49"/>
      <c r="L3" s="272" t="s">
        <v>89</v>
      </c>
      <c r="M3" s="272"/>
      <c r="N3" s="49"/>
      <c r="O3" s="272" t="s">
        <v>90</v>
      </c>
      <c r="P3" s="279"/>
      <c r="R3" s="272" t="s">
        <v>223</v>
      </c>
      <c r="S3" s="272"/>
      <c r="T3" s="80"/>
      <c r="AD3" s="9" t="s">
        <v>17</v>
      </c>
      <c r="AE3" s="6">
        <v>2.7</v>
      </c>
      <c r="AF3" s="6">
        <v>1.5</v>
      </c>
      <c r="AG3" s="6">
        <v>3.6</v>
      </c>
    </row>
    <row r="4" spans="3:33" ht="40.5" customHeight="1" x14ac:dyDescent="0.25">
      <c r="C4" s="79" t="s">
        <v>58</v>
      </c>
      <c r="D4" s="80" t="s">
        <v>59</v>
      </c>
      <c r="E4" s="80"/>
      <c r="F4" s="81" t="s">
        <v>58</v>
      </c>
      <c r="G4" s="80" t="s">
        <v>59</v>
      </c>
      <c r="H4" s="80"/>
      <c r="I4" s="81" t="s">
        <v>58</v>
      </c>
      <c r="J4" s="80" t="s">
        <v>59</v>
      </c>
      <c r="K4" s="80"/>
      <c r="L4" s="81" t="s">
        <v>58</v>
      </c>
      <c r="M4" s="80" t="s">
        <v>59</v>
      </c>
      <c r="N4" s="80"/>
      <c r="O4" s="81" t="s">
        <v>58</v>
      </c>
      <c r="P4" s="82" t="s">
        <v>59</v>
      </c>
      <c r="R4" s="81" t="s">
        <v>58</v>
      </c>
      <c r="S4" s="80" t="s">
        <v>59</v>
      </c>
      <c r="T4" s="80"/>
      <c r="AD4" s="9"/>
      <c r="AE4" s="6"/>
      <c r="AF4" s="6"/>
      <c r="AG4" s="6"/>
    </row>
    <row r="5" spans="3:33" ht="40.5" customHeight="1" thickBot="1" x14ac:dyDescent="0.3">
      <c r="C5" s="79" t="s">
        <v>91</v>
      </c>
      <c r="D5" s="80">
        <v>1</v>
      </c>
      <c r="E5" s="80"/>
      <c r="F5" s="81"/>
      <c r="G5" s="80">
        <v>1</v>
      </c>
      <c r="H5" s="80"/>
      <c r="I5" s="81"/>
      <c r="J5" s="80">
        <v>2</v>
      </c>
      <c r="K5" s="80"/>
      <c r="L5" s="81"/>
      <c r="M5" s="80">
        <v>2</v>
      </c>
      <c r="N5" s="80"/>
      <c r="O5" s="81"/>
      <c r="P5" s="82">
        <v>2</v>
      </c>
      <c r="R5" s="87"/>
      <c r="S5" s="87">
        <v>2</v>
      </c>
      <c r="T5" s="80"/>
      <c r="AD5" s="9" t="s">
        <v>16</v>
      </c>
      <c r="AE5" s="7">
        <v>2.7</v>
      </c>
      <c r="AF5" s="7">
        <v>0.5</v>
      </c>
      <c r="AG5" s="7">
        <v>2.9</v>
      </c>
    </row>
    <row r="6" spans="3:33" ht="40.5" customHeight="1" x14ac:dyDescent="0.25">
      <c r="C6" s="9" t="s">
        <v>17</v>
      </c>
      <c r="D6" s="20">
        <v>1</v>
      </c>
      <c r="E6" s="80"/>
      <c r="F6" s="9" t="s">
        <v>17</v>
      </c>
      <c r="G6" s="20">
        <v>2</v>
      </c>
      <c r="H6" s="80"/>
      <c r="I6" s="9" t="s">
        <v>17</v>
      </c>
      <c r="J6" s="20">
        <v>0</v>
      </c>
      <c r="K6" s="80"/>
      <c r="L6" s="9" t="s">
        <v>17</v>
      </c>
      <c r="M6" s="20">
        <v>1</v>
      </c>
      <c r="N6" s="80"/>
      <c r="O6" s="9" t="s">
        <v>17</v>
      </c>
      <c r="P6" s="83">
        <v>2</v>
      </c>
      <c r="R6" s="145" t="s">
        <v>17</v>
      </c>
      <c r="S6" s="146">
        <v>0</v>
      </c>
      <c r="AD6" s="9" t="s">
        <v>5</v>
      </c>
      <c r="AE6" s="7">
        <v>1</v>
      </c>
      <c r="AF6" s="7">
        <v>1</v>
      </c>
      <c r="AG6" s="7">
        <v>1.4</v>
      </c>
    </row>
    <row r="7" spans="3:33" ht="40.5" customHeight="1" x14ac:dyDescent="0.25">
      <c r="C7" s="9" t="s">
        <v>16</v>
      </c>
      <c r="D7" s="21">
        <v>0</v>
      </c>
      <c r="E7" s="80"/>
      <c r="F7" s="9" t="s">
        <v>16</v>
      </c>
      <c r="G7" s="21">
        <v>0</v>
      </c>
      <c r="H7" s="80"/>
      <c r="I7" s="9" t="s">
        <v>16</v>
      </c>
      <c r="J7" s="21">
        <v>1</v>
      </c>
      <c r="K7" s="80"/>
      <c r="L7" s="9" t="s">
        <v>16</v>
      </c>
      <c r="M7" s="21">
        <v>1</v>
      </c>
      <c r="N7" s="80"/>
      <c r="O7" s="9" t="s">
        <v>16</v>
      </c>
      <c r="P7" s="84">
        <v>0</v>
      </c>
      <c r="R7" s="9" t="s">
        <v>16</v>
      </c>
      <c r="S7" s="84">
        <v>0</v>
      </c>
      <c r="AD7" s="9" t="s">
        <v>6</v>
      </c>
      <c r="AE7" s="7">
        <v>0</v>
      </c>
      <c r="AF7" s="7">
        <v>1.4</v>
      </c>
      <c r="AG7" s="7">
        <v>1.4</v>
      </c>
    </row>
    <row r="8" spans="3:33" ht="40.5" customHeight="1" x14ac:dyDescent="0.25">
      <c r="C8" s="9" t="s">
        <v>5</v>
      </c>
      <c r="D8" s="20">
        <v>1</v>
      </c>
      <c r="E8" s="80"/>
      <c r="F8" s="9" t="s">
        <v>5</v>
      </c>
      <c r="G8" s="20">
        <v>1</v>
      </c>
      <c r="H8" s="80"/>
      <c r="I8" s="9" t="s">
        <v>5</v>
      </c>
      <c r="J8" s="20">
        <v>0</v>
      </c>
      <c r="K8" s="80"/>
      <c r="L8" s="9" t="s">
        <v>5</v>
      </c>
      <c r="M8" s="20">
        <v>1</v>
      </c>
      <c r="N8" s="80"/>
      <c r="O8" s="9" t="s">
        <v>5</v>
      </c>
      <c r="P8" s="83">
        <v>1</v>
      </c>
      <c r="R8" s="9" t="s">
        <v>5</v>
      </c>
      <c r="S8" s="83">
        <v>0</v>
      </c>
      <c r="AD8" s="9" t="s">
        <v>64</v>
      </c>
      <c r="AE8" s="6">
        <v>1</v>
      </c>
      <c r="AF8" s="6">
        <v>1</v>
      </c>
      <c r="AG8" s="6">
        <v>1.4</v>
      </c>
    </row>
    <row r="9" spans="3:33" ht="40.5" customHeight="1" x14ac:dyDescent="0.25">
      <c r="C9" s="9" t="s">
        <v>6</v>
      </c>
      <c r="D9" s="21">
        <v>1</v>
      </c>
      <c r="E9" s="80"/>
      <c r="F9" s="9" t="s">
        <v>6</v>
      </c>
      <c r="G9" s="21">
        <v>1</v>
      </c>
      <c r="H9" s="80"/>
      <c r="I9" s="9" t="s">
        <v>6</v>
      </c>
      <c r="J9" s="21">
        <v>0</v>
      </c>
      <c r="K9" s="80"/>
      <c r="L9" s="9" t="s">
        <v>6</v>
      </c>
      <c r="M9" s="21">
        <v>1</v>
      </c>
      <c r="N9" s="80"/>
      <c r="O9" s="9" t="s">
        <v>6</v>
      </c>
      <c r="P9" s="84">
        <v>1</v>
      </c>
      <c r="R9" s="9" t="s">
        <v>6</v>
      </c>
      <c r="S9" s="84">
        <v>0</v>
      </c>
      <c r="AD9" s="9" t="s">
        <v>65</v>
      </c>
      <c r="AE9" s="6">
        <v>3</v>
      </c>
      <c r="AF9" s="6">
        <v>3</v>
      </c>
      <c r="AG9" s="6">
        <v>4</v>
      </c>
    </row>
    <row r="10" spans="3:33" ht="40.5" customHeight="1" x14ac:dyDescent="0.25">
      <c r="C10" s="139" t="s">
        <v>7</v>
      </c>
      <c r="D10" s="140">
        <v>1</v>
      </c>
      <c r="E10" s="80"/>
      <c r="F10" s="139" t="s">
        <v>7</v>
      </c>
      <c r="G10" s="140">
        <v>1</v>
      </c>
      <c r="H10" s="80"/>
      <c r="I10" s="139" t="s">
        <v>7</v>
      </c>
      <c r="J10" s="140">
        <v>0</v>
      </c>
      <c r="K10" s="80"/>
      <c r="L10" s="139" t="s">
        <v>7</v>
      </c>
      <c r="M10" s="140">
        <v>0</v>
      </c>
      <c r="N10" s="80"/>
      <c r="O10" s="139" t="s">
        <v>7</v>
      </c>
      <c r="P10" s="141">
        <v>0</v>
      </c>
      <c r="R10" s="139" t="s">
        <v>7</v>
      </c>
      <c r="S10" s="141">
        <v>0</v>
      </c>
      <c r="AD10" s="9" t="s">
        <v>107</v>
      </c>
      <c r="AE10" s="6">
        <v>1.5</v>
      </c>
      <c r="AF10" s="6">
        <v>1.5</v>
      </c>
      <c r="AG10" s="6">
        <v>2</v>
      </c>
    </row>
    <row r="11" spans="3:33" ht="40.5" customHeight="1" x14ac:dyDescent="0.25">
      <c r="C11" s="139" t="s">
        <v>224</v>
      </c>
      <c r="D11" s="140">
        <v>0</v>
      </c>
      <c r="E11" s="80"/>
      <c r="F11" s="139" t="s">
        <v>224</v>
      </c>
      <c r="G11" s="140">
        <v>0</v>
      </c>
      <c r="H11" s="80"/>
      <c r="I11" s="139" t="s">
        <v>224</v>
      </c>
      <c r="J11" s="140">
        <v>0</v>
      </c>
      <c r="K11" s="80"/>
      <c r="L11" s="139" t="s">
        <v>224</v>
      </c>
      <c r="M11" s="140">
        <v>0</v>
      </c>
      <c r="N11" s="80"/>
      <c r="O11" s="139" t="s">
        <v>224</v>
      </c>
      <c r="P11" s="141">
        <v>0</v>
      </c>
      <c r="Q11" s="82"/>
      <c r="R11" s="139" t="s">
        <v>224</v>
      </c>
      <c r="S11" s="141">
        <v>1</v>
      </c>
      <c r="AD11" s="9"/>
      <c r="AE11" s="6"/>
      <c r="AF11" s="6"/>
      <c r="AG11" s="6"/>
    </row>
    <row r="12" spans="3:33" ht="40.5" customHeight="1" x14ac:dyDescent="0.25">
      <c r="C12" s="139"/>
      <c r="D12" s="140">
        <v>0</v>
      </c>
      <c r="E12" s="80"/>
      <c r="F12" s="139"/>
      <c r="G12" s="140">
        <v>0</v>
      </c>
      <c r="H12" s="80"/>
      <c r="I12" s="139"/>
      <c r="J12" s="140">
        <v>0</v>
      </c>
      <c r="K12" s="80"/>
      <c r="L12" s="139"/>
      <c r="M12" s="140">
        <v>0</v>
      </c>
      <c r="N12" s="80"/>
      <c r="O12" s="139"/>
      <c r="P12" s="141">
        <v>0</v>
      </c>
      <c r="R12" s="139"/>
      <c r="S12" s="141">
        <v>0</v>
      </c>
      <c r="AD12" s="9"/>
      <c r="AE12" s="6"/>
      <c r="AF12" s="6"/>
      <c r="AG12" s="6"/>
    </row>
    <row r="13" spans="3:33" ht="40.5" customHeight="1" thickBot="1" x14ac:dyDescent="0.3">
      <c r="C13" s="85"/>
      <c r="D13" s="86">
        <v>0</v>
      </c>
      <c r="E13" s="87"/>
      <c r="F13" s="85"/>
      <c r="G13" s="86">
        <v>0</v>
      </c>
      <c r="H13" s="87"/>
      <c r="I13" s="85"/>
      <c r="J13" s="86">
        <v>0</v>
      </c>
      <c r="K13" s="87"/>
      <c r="L13" s="85"/>
      <c r="M13" s="86">
        <v>0</v>
      </c>
      <c r="N13" s="87"/>
      <c r="O13" s="85"/>
      <c r="P13" s="88">
        <v>0</v>
      </c>
      <c r="Q13" s="80"/>
      <c r="R13" s="85"/>
      <c r="S13" s="88">
        <v>0</v>
      </c>
    </row>
    <row r="14" spans="3:33" ht="14.25" customHeight="1" thickBot="1" x14ac:dyDescent="0.3">
      <c r="C14" s="143" t="s">
        <v>60</v>
      </c>
      <c r="D14" s="144">
        <f>(D6*AE3)+(D7*AE5)+(D8*AE6)+(D9*AE7)+(D10*AE8)+(D11*AE9)</f>
        <v>4.7</v>
      </c>
      <c r="E14" s="78"/>
      <c r="F14" s="143" t="s">
        <v>60</v>
      </c>
      <c r="G14" s="144">
        <f>(G6*AE3)+(G7*AE5)+(G8*AE6)+(G9*AE7)+(G10*AE8)+(G11*AE9)</f>
        <v>7.4</v>
      </c>
      <c r="H14" s="78"/>
      <c r="I14" s="143" t="s">
        <v>60</v>
      </c>
      <c r="J14" s="144">
        <f>(J6*AE3)+(J7*AE5)+(J8*AE6)+(J9*AE7)+(J10*AE8)+(J11*AE9)</f>
        <v>2.7</v>
      </c>
      <c r="K14" s="78"/>
      <c r="L14" s="143" t="s">
        <v>60</v>
      </c>
      <c r="M14" s="144">
        <f>(M6*AE3)+(M7*AE5)+(M8*AE6)+(M9*AE7)+(M10*AE8)+(M11*AE9)</f>
        <v>6.4</v>
      </c>
      <c r="N14" s="78"/>
      <c r="O14" s="143" t="s">
        <v>60</v>
      </c>
      <c r="P14" s="144">
        <f>(P6*AE3)+(P7*AE5)+(P8*AE6)+(P9*AE7)+(P10*AE8)+(P11*AE9)</f>
        <v>6.4</v>
      </c>
      <c r="R14" s="143" t="s">
        <v>60</v>
      </c>
      <c r="S14" s="144">
        <f>(S6*AE3)+(S7*AE5)+(S8*AE6)+(S9*AE7)+(S10*AE8)+(S11*AE9)</f>
        <v>3</v>
      </c>
    </row>
    <row r="15" spans="3:33" ht="14.25" customHeight="1" thickTop="1" thickBot="1" x14ac:dyDescent="0.3">
      <c r="C15" s="50" t="s">
        <v>61</v>
      </c>
      <c r="D15" s="51">
        <f>(D6*AF3)+(D7*AF5)+(D8*AF6)+(D9*AF7)+(D10*AF8)+(D11*AF9)</f>
        <v>4.9000000000000004</v>
      </c>
      <c r="E15" s="78"/>
      <c r="F15" s="50" t="s">
        <v>61</v>
      </c>
      <c r="G15" s="51">
        <f>(G6*AF3)+(G7*AF5)+(G8*AF6)+(G9*AF7)+(G10*AF8)+(G11*AF9)</f>
        <v>6.4</v>
      </c>
      <c r="H15" s="78"/>
      <c r="I15" s="50" t="s">
        <v>61</v>
      </c>
      <c r="J15" s="51">
        <f>(J6*AF3)+(J7*AF5)+(J8*AF6)+(J9*AF7)+(J10*AF8)+(J11*AF9)</f>
        <v>0.5</v>
      </c>
      <c r="K15" s="78"/>
      <c r="L15" s="50" t="s">
        <v>61</v>
      </c>
      <c r="M15" s="51">
        <f>(M6*AF3)+(M7*AF5)+(M8*AF6)+(M9*AF7)+(M10*AF8)+(M11*AF9)</f>
        <v>4.4000000000000004</v>
      </c>
      <c r="N15" s="78"/>
      <c r="O15" s="50" t="s">
        <v>61</v>
      </c>
      <c r="P15" s="51">
        <f>(P6*AF3)+(P7*AF5)+(P8*AF6)+(P9*AF7)+(P10*AF8)+(P11*AF9)</f>
        <v>5.4</v>
      </c>
      <c r="R15" s="50" t="s">
        <v>61</v>
      </c>
      <c r="S15" s="51">
        <f>(S6*AF3)+(S7*AF5)+(S8*AF6)+(S9*AF7)+(S10*AF8)+(S11*AF9)</f>
        <v>3</v>
      </c>
    </row>
    <row r="16" spans="3:33" ht="14.25" customHeight="1" thickTop="1" thickBot="1" x14ac:dyDescent="0.3">
      <c r="C16" s="50" t="s">
        <v>62</v>
      </c>
      <c r="D16" s="51">
        <f>(D6*AG3)+(D7*AG5)+(D8*AG6)+(D9*AG7)+(D10*AG8)+(D11*AG9)</f>
        <v>7.8000000000000007</v>
      </c>
      <c r="E16" s="78"/>
      <c r="F16" s="50" t="s">
        <v>62</v>
      </c>
      <c r="G16" s="51">
        <f>(G6*AG3)+(G7*AG5)+(G8*AG6)+(G9*AG7)+(G10*AG8)+(G11*AG9)</f>
        <v>11.4</v>
      </c>
      <c r="H16" s="78"/>
      <c r="I16" s="50" t="s">
        <v>62</v>
      </c>
      <c r="J16" s="51">
        <f>(J6*AG3)+(J7*AG5)+(J8*AG6)+(J9*AG7)+(J10*AG8)+(J11*AG9)</f>
        <v>2.9</v>
      </c>
      <c r="K16" s="78"/>
      <c r="L16" s="50" t="s">
        <v>62</v>
      </c>
      <c r="M16" s="51">
        <f>(M6*AG3)+(M7*AG5)+(M8*AG6)+(M9*AG7)+(M10*AG8)+(M11*AG9)</f>
        <v>9.3000000000000007</v>
      </c>
      <c r="N16" s="78"/>
      <c r="O16" s="50" t="s">
        <v>62</v>
      </c>
      <c r="P16" s="51">
        <f>(P6*AG3)+(P7*AG5)+(P8*AG6)+(P9*AG7)+(P10*AG8)+(P11*AG9)</f>
        <v>10</v>
      </c>
      <c r="R16" s="50" t="s">
        <v>62</v>
      </c>
      <c r="S16" s="51">
        <f>(S6*AG3)+(S7*AG5)+(S8*AG6)+(S9*AG7)+(S10*AG8)+(S11*AG9)</f>
        <v>4</v>
      </c>
    </row>
    <row r="17" spans="2:69" ht="14.25" customHeight="1" thickTop="1" x14ac:dyDescent="0.25"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</row>
    <row r="18" spans="2:69" ht="14.25" customHeight="1" x14ac:dyDescent="0.25"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</row>
    <row r="19" spans="2:69" ht="17.25" customHeight="1" thickBot="1" x14ac:dyDescent="0.35">
      <c r="C19" s="282" t="s">
        <v>128</v>
      </c>
      <c r="D19" s="282"/>
      <c r="E19" s="282"/>
      <c r="F19" s="282"/>
      <c r="G19" s="282"/>
      <c r="H19" s="282"/>
      <c r="I19" s="282"/>
      <c r="J19" s="282"/>
      <c r="K19" s="282"/>
      <c r="L19" s="282"/>
      <c r="M19" s="282"/>
      <c r="N19" s="282"/>
      <c r="O19" s="282"/>
      <c r="P19" s="282"/>
      <c r="Q19" s="138"/>
      <c r="R19" s="138"/>
      <c r="S19" s="138"/>
      <c r="T19" s="138"/>
      <c r="U19" s="138"/>
      <c r="V19" s="138"/>
      <c r="W19" s="138"/>
      <c r="Z19" s="281" t="s">
        <v>207</v>
      </c>
      <c r="AA19" s="281"/>
      <c r="AB19" s="280">
        <v>1</v>
      </c>
      <c r="AC19" s="280"/>
      <c r="AD19" s="280"/>
      <c r="AE19" s="280">
        <v>2</v>
      </c>
      <c r="AF19" s="280"/>
      <c r="AG19" s="280"/>
      <c r="AH19" s="280">
        <v>3</v>
      </c>
      <c r="AI19" s="280"/>
      <c r="AJ19" s="280"/>
      <c r="AK19" s="280">
        <v>4</v>
      </c>
      <c r="AL19" s="280"/>
      <c r="AM19" s="280"/>
      <c r="AN19" s="280">
        <v>5</v>
      </c>
      <c r="AO19" s="280"/>
      <c r="AP19" s="280"/>
      <c r="AQ19" s="280">
        <v>6</v>
      </c>
      <c r="AR19" s="280"/>
      <c r="AS19" s="280"/>
      <c r="AT19" s="280">
        <v>7</v>
      </c>
      <c r="AU19" s="280"/>
      <c r="AV19" s="280"/>
      <c r="AW19" s="280">
        <v>8</v>
      </c>
      <c r="AX19" s="280"/>
      <c r="AY19" s="280"/>
      <c r="AZ19" s="280">
        <v>9</v>
      </c>
      <c r="BA19" s="280"/>
      <c r="BB19" s="280"/>
      <c r="BC19" s="280">
        <v>10</v>
      </c>
      <c r="BD19" s="280"/>
      <c r="BE19" s="280"/>
      <c r="BF19" s="280">
        <v>11</v>
      </c>
      <c r="BG19" s="280"/>
      <c r="BH19" s="280"/>
      <c r="BI19" s="280">
        <v>12</v>
      </c>
      <c r="BJ19" s="280"/>
      <c r="BK19" s="280"/>
      <c r="BL19" s="280">
        <v>13</v>
      </c>
      <c r="BM19" s="280"/>
      <c r="BN19" s="280"/>
      <c r="BO19" s="280">
        <v>14</v>
      </c>
      <c r="BP19" s="280"/>
      <c r="BQ19" s="280"/>
    </row>
    <row r="20" spans="2:69" ht="15.75" customHeight="1" thickBot="1" x14ac:dyDescent="0.3">
      <c r="C20" s="89">
        <v>1</v>
      </c>
      <c r="D20" s="89">
        <v>2</v>
      </c>
      <c r="E20" s="89">
        <v>3</v>
      </c>
      <c r="F20" s="89">
        <v>4</v>
      </c>
      <c r="G20" s="89">
        <v>5</v>
      </c>
      <c r="H20" s="89">
        <v>6</v>
      </c>
      <c r="I20" s="89">
        <v>7</v>
      </c>
      <c r="J20" s="89">
        <v>8</v>
      </c>
      <c r="K20" s="89">
        <v>9</v>
      </c>
      <c r="L20" s="89">
        <v>10</v>
      </c>
      <c r="M20" s="89">
        <v>11</v>
      </c>
      <c r="N20" s="89">
        <v>12</v>
      </c>
      <c r="O20" s="89">
        <v>13</v>
      </c>
      <c r="P20" s="53">
        <v>14</v>
      </c>
      <c r="Q20" s="80"/>
      <c r="R20" s="80"/>
      <c r="S20" s="80"/>
      <c r="T20" s="80"/>
      <c r="U20" s="80"/>
      <c r="V20" s="80"/>
      <c r="W20" s="80"/>
      <c r="Z20" s="78"/>
      <c r="AA20" s="95" t="s">
        <v>63</v>
      </c>
      <c r="AB20" s="92" t="s">
        <v>105</v>
      </c>
      <c r="AC20" s="93" t="s">
        <v>106</v>
      </c>
      <c r="AD20" s="94" t="s">
        <v>32</v>
      </c>
      <c r="AE20" s="92" t="s">
        <v>105</v>
      </c>
      <c r="AF20" s="93" t="s">
        <v>106</v>
      </c>
      <c r="AG20" s="94" t="s">
        <v>32</v>
      </c>
      <c r="AH20" s="92" t="s">
        <v>105</v>
      </c>
      <c r="AI20" s="93" t="s">
        <v>106</v>
      </c>
      <c r="AJ20" s="94" t="s">
        <v>32</v>
      </c>
      <c r="AK20" s="92" t="s">
        <v>105</v>
      </c>
      <c r="AL20" s="93" t="s">
        <v>106</v>
      </c>
      <c r="AM20" s="94" t="s">
        <v>32</v>
      </c>
      <c r="AN20" s="92" t="s">
        <v>105</v>
      </c>
      <c r="AO20" s="93" t="s">
        <v>106</v>
      </c>
      <c r="AP20" s="94" t="s">
        <v>32</v>
      </c>
      <c r="AQ20" s="92" t="s">
        <v>105</v>
      </c>
      <c r="AR20" s="93" t="s">
        <v>106</v>
      </c>
      <c r="AS20" s="94" t="s">
        <v>32</v>
      </c>
      <c r="AT20" s="92" t="s">
        <v>105</v>
      </c>
      <c r="AU20" s="93" t="s">
        <v>106</v>
      </c>
      <c r="AV20" s="94" t="s">
        <v>32</v>
      </c>
      <c r="AW20" s="92" t="s">
        <v>105</v>
      </c>
      <c r="AX20" s="93" t="s">
        <v>106</v>
      </c>
      <c r="AY20" s="94" t="s">
        <v>32</v>
      </c>
      <c r="AZ20" s="92" t="s">
        <v>105</v>
      </c>
      <c r="BA20" s="93" t="s">
        <v>106</v>
      </c>
      <c r="BB20" s="94" t="s">
        <v>32</v>
      </c>
      <c r="BC20" s="92" t="s">
        <v>105</v>
      </c>
      <c r="BD20" s="93" t="s">
        <v>106</v>
      </c>
      <c r="BE20" s="94" t="s">
        <v>32</v>
      </c>
      <c r="BF20" s="92" t="s">
        <v>105</v>
      </c>
      <c r="BG20" s="93" t="s">
        <v>106</v>
      </c>
      <c r="BH20" s="94" t="s">
        <v>32</v>
      </c>
      <c r="BI20" s="92" t="s">
        <v>105</v>
      </c>
      <c r="BJ20" s="93" t="s">
        <v>106</v>
      </c>
      <c r="BK20" s="94" t="s">
        <v>32</v>
      </c>
      <c r="BL20" s="92" t="s">
        <v>105</v>
      </c>
      <c r="BM20" s="93" t="s">
        <v>106</v>
      </c>
      <c r="BN20" s="94" t="s">
        <v>32</v>
      </c>
      <c r="BO20" s="92" t="s">
        <v>105</v>
      </c>
      <c r="BP20" s="93" t="s">
        <v>106</v>
      </c>
      <c r="BQ20" s="94" t="s">
        <v>32</v>
      </c>
    </row>
    <row r="21" spans="2:69" ht="15.75" thickBot="1" x14ac:dyDescent="0.3">
      <c r="B21" s="90" t="s">
        <v>93</v>
      </c>
      <c r="C21" s="113" t="s">
        <v>87</v>
      </c>
      <c r="D21" s="114" t="s">
        <v>86</v>
      </c>
      <c r="E21" s="115" t="s">
        <v>86</v>
      </c>
      <c r="F21" s="114" t="s">
        <v>86</v>
      </c>
      <c r="G21" s="115" t="s">
        <v>86</v>
      </c>
      <c r="H21" s="114" t="s">
        <v>87</v>
      </c>
      <c r="I21" s="115"/>
      <c r="J21" s="114"/>
      <c r="K21" s="115"/>
      <c r="L21" s="114"/>
      <c r="M21" s="115"/>
      <c r="N21" s="114"/>
      <c r="O21" s="115"/>
      <c r="P21" s="190"/>
      <c r="Q21" s="80"/>
      <c r="R21" s="80"/>
      <c r="S21" s="80"/>
      <c r="T21" s="80"/>
      <c r="U21" s="80"/>
      <c r="V21" s="80"/>
      <c r="W21" s="80"/>
      <c r="Z21" s="66"/>
      <c r="AA21" s="95" t="s">
        <v>93</v>
      </c>
      <c r="AB21" s="51">
        <f>IF(C21="A",$D$14,IF(C21="B",$G$14,IF(C21="C",$J$14,IF(C21="D",$M$14,IF(C21="E",$P$14,IF(C21="F",$S$14,0))))))</f>
        <v>7.4</v>
      </c>
      <c r="AC21" s="51">
        <f>IF(C21="A",$D$15,IF(C21="B",$G$15,IF(C21="C",$J$15,IF(C21="D",$M$15,IF(C21="E",$P$15,IF(C21="F",$S$15,0))))))</f>
        <v>6.4</v>
      </c>
      <c r="AD21" s="51">
        <f>IF(C21="A",$D$16,IF(C21="B",$G$16,IF(C21="C",$J$16,IF(C21="D",$M$16,IF(C21="E",$P$16,IF(C21="F",$S$16,0))))))</f>
        <v>11.4</v>
      </c>
      <c r="AE21" s="51">
        <f>IF(D21="A",$D$14,IF(D21="B",$G$14,IF(D21="C",$J$14,IF(D21="D",$M$14,IF(D21="E",$P$14,IF(D21="F",$S$14,0))))))</f>
        <v>4.7</v>
      </c>
      <c r="AF21" s="51">
        <f>IF(D21="A",$D$15,IF(D21="B",$G$15,IF(D21="C",$J$15,IF(D21="D",$M$15,IF(D21="E",$P$15,IF(D21="F",$S$15,0))))))</f>
        <v>4.9000000000000004</v>
      </c>
      <c r="AG21" s="51">
        <f>IF(D21="A",$D$16,IF(D21="B",$G$16,IF(D21="C",$J$16,IF(D21="D",$M$16,IF(D21="E",$P$16,IF(D21="F",$S$16,0))))))</f>
        <v>7.8000000000000007</v>
      </c>
      <c r="AH21" s="51">
        <f>IF(E21="A",$D$14,IF(E21="B",$G$14,IF(E21="C",$J$14,IF(E21="D",$M$14,IF(E21="E",$P$14,IF(E21="F",$S$14,0))))))</f>
        <v>4.7</v>
      </c>
      <c r="AI21" s="51">
        <f>IF(E21="A",$D$15,IF(E21="B",$G$15,IF(E21="C",$J$15,IF(E21="D",$M$15,IF(E21="E",$P$15,IF(E21="F",$S$15,0))))))</f>
        <v>4.9000000000000004</v>
      </c>
      <c r="AJ21" s="51">
        <f>IF(E21="A",$D$16,IF(E21="B",$G$16,IF(E21="C",$J$16,IF(E21="D",$M$16,IF(E21="E",$P$16,IF(E21="F",$S$16,0))))))</f>
        <v>7.8000000000000007</v>
      </c>
      <c r="AK21" s="51">
        <f>IF(F21="A",$D$14,IF(F21="B",$G$14,IF(F21="C",$J$14,IF(F21="D",$M$14,IF(F21="E",$P$14,IF(F21="F",$S$14,0))))))</f>
        <v>4.7</v>
      </c>
      <c r="AL21" s="51">
        <f>IF(F21="A",$D$15,IF(F21="B",$G$15,IF(F21="C",$J$15,IF(F21="D",$M$15,IF(F21="E",$P$15,IF(F21="F",$S$15,0))))))</f>
        <v>4.9000000000000004</v>
      </c>
      <c r="AM21" s="51">
        <f>IF(F21="A",$D$16,IF(F21="B",$G$16,IF(F21="C",$J$16,IF(F21="D",$M$16,IF(F21="E",$P$16,IF(F21="F",$S$16,0))))))</f>
        <v>7.8000000000000007</v>
      </c>
      <c r="AN21" s="51">
        <f>IF(G21="A",$D$14,IF(G21="B",$G$14,IF(G21="C",$J$14,IF(G21="D",$M$14,IF(G21="E",$P$14,IF(G21="F",$S$14,0))))))</f>
        <v>4.7</v>
      </c>
      <c r="AO21" s="51">
        <f>IF(G21="A",$D$15,IF(G21="B",$G$15,IF(G21="C",$J$15,IF(G21="D",$M$15,IF(G21="E",$P$15,IF(G21="F",$S$15,0))))))</f>
        <v>4.9000000000000004</v>
      </c>
      <c r="AP21" s="51">
        <f>IF(G21="A",$D$16,IF(G21="B",$G$16,IF(G21="C",$J$16,IF(G21="D",$M$16,IF(G21="E",$P$16,IF(G21="F",$S$16,0))))))</f>
        <v>7.8000000000000007</v>
      </c>
      <c r="AQ21" s="51">
        <f>IF(H21="A",$D$14,IF(H21="B",$G$14,IF(H21="C",$J$14,IF(H21="D",$M$14,IF(H21="E",$P$14,IF(H21="F",$S$14,0))))))</f>
        <v>7.4</v>
      </c>
      <c r="AR21" s="51">
        <f>IF(H21="A",$D$15,IF(H21="B",$G$15,IF(H21="C",$J$15,IF(H21="D",$M$15,IF(H21="E",$P$15,IF(H21="F",$S$15,0))))))</f>
        <v>6.4</v>
      </c>
      <c r="AS21" s="51">
        <f>IF(H21="A",$D$16,IF(H21="B",$G$16,IF(H21="C",$J$16,IF(H21="D",$M$16,IF(H21="E",$P$16,IF(H21="F",$S$16,0))))))</f>
        <v>11.4</v>
      </c>
      <c r="AT21" s="51">
        <f>IF(I21="A",$D$14,IF(I21="B",$G$14,IF(I21="C",$J$14,IF(I21="D",$M$14,IF(I21="E",$P$14,IF(I21="F",$S$14,0))))))</f>
        <v>0</v>
      </c>
      <c r="AU21" s="51">
        <f>IF(I21="A",$D$15,IF(I21="B",$G$15,IF(I21="C",$J$15,IF(I21="D",$M$15,IF(I21="E",$P$15,IF(I21="F",$S$15,0))))))</f>
        <v>0</v>
      </c>
      <c r="AV21" s="51">
        <f>IF(I21="A",$D$16,IF(I21="B",$G$16,IF(I21="C",$J$16,IF(I21="D",$M$16,IF(I21="E",$P$16,IF(I21="F",$S$16,0))))))</f>
        <v>0</v>
      </c>
      <c r="AW21" s="51">
        <f>IF(J21="A",$D$14,IF(J21="B",$G$14,IF(J21="C",$J$14,IF(J21="D",$M$14,IF(J21="E",$P$14,IF(J21="F",$S$14,0))))))</f>
        <v>0</v>
      </c>
      <c r="AX21" s="51">
        <f>IF(J21="A",$D$15,IF(J21="B",$G$15,IF(J21="C",$J$15,IF(J21="D",$M$15,IF(J21="E",$P$15,IF(J21="F",$S$15,0))))))</f>
        <v>0</v>
      </c>
      <c r="AY21" s="51">
        <f>IF(J21="A",$D$16,IF(J21="B",$G$16,IF(J21="C",$J$16,IF(J21="D",$M$16,IF(J21="E",$P$16,IF(J21="F",$S$16,0))))))</f>
        <v>0</v>
      </c>
      <c r="AZ21" s="51">
        <f>IF(K21="A",$D$14,IF(K21="B",$G$14,IF(K21="C",$J$14,IF(K21="D",$M$14,IF(K21="E",$P$14,IF(K21="F",$S$14,0))))))</f>
        <v>0</v>
      </c>
      <c r="BA21" s="51">
        <f>IF(K21="A",$D$15,IF(K21="B",$G$15,IF(K21="C",$J$15,IF(K21="D",$M$15,IF(K21="E",$P$15,IF(K21="F",$S$15,0))))))</f>
        <v>0</v>
      </c>
      <c r="BB21" s="51">
        <f>IF(K21="A",$D$16,IF(K21="B",$G$16,IF(K21="C",$J$16,IF(K21="D",$M$16,IF(K21="E",$P$16,IF(K21="F",$S$16,0))))))</f>
        <v>0</v>
      </c>
      <c r="BC21" s="51">
        <f>IF(L21="A",$D$14,IF(L21="B",$G$14,IF(L21="C",$J$14,IF(L21="D",$M$14,IF(L21="E",$P$14,IF(L21="F",$S$14,0))))))</f>
        <v>0</v>
      </c>
      <c r="BD21" s="51">
        <f>IF(L21="A",$D$15,IF(L21="B",$G$15,IF(L21="C",$J$15,IF(L21="D",$M$15,IF(L21="E",$P$15,IF(L21="F",$S$15,0))))))</f>
        <v>0</v>
      </c>
      <c r="BE21" s="51">
        <f>IF(L21="A",$D$16,IF(L21="B",$G$16,IF(L21="C",$J$16,IF(L21="D",$M$16,IF(L21="E",$P$16,IF(L21="F",$S$16,0))))))</f>
        <v>0</v>
      </c>
      <c r="BF21" s="51">
        <f>IF(M21="A",$D$14,IF(M21="B",$G$14,IF(M21="C",$J$14,IF(M21="D",$M$14,IF(M21="E",$P$14,IF(M21="F",$S$14,0))))))</f>
        <v>0</v>
      </c>
      <c r="BG21" s="51">
        <f>IF(M21="A",$D$15,IF(M21="B",$G$15,IF(M21="C",$J$15,IF(M21="D",$M$15,IF(M21="E",$P$15,IF(M21="F",$S$15,0))))))</f>
        <v>0</v>
      </c>
      <c r="BH21" s="51">
        <f>IF(M21="A",$D$16,IF(M21="B",$G$16,IF(M21="C",$J$16,IF(M21="D",$M$16,IF(M21="E",$P$16,IF(M21="F",$S$16,0))))))</f>
        <v>0</v>
      </c>
      <c r="BI21" s="51">
        <f>IF(N21="A",$D$14,IF(N21="B",$G$14,IF(N21="C",$J$14,IF(N21="D",$M$14,IF(N21="E",$P$14,IF(N21="F",$S$14,0))))))</f>
        <v>0</v>
      </c>
      <c r="BJ21" s="51">
        <f>IF(N21="A",$D$15,IF(N21="B",$G$15,IF(N21="C",$J$15,IF(N21="D",$M$15,IF(N21="E",$P$15,IF(N21="F",$S$15,0))))))</f>
        <v>0</v>
      </c>
      <c r="BK21" s="51">
        <f>IF(N21="A",$D$16,IF(N21="B",$G$16,IF(N21="C",$J$16,IF(N21="D",$M$16,IF(N21="E",$P$16,IF(N21="F",$S$16,0))))))</f>
        <v>0</v>
      </c>
      <c r="BL21" s="51">
        <f>IF(O21="A",$D$14,IF(O21="B",$G$14,IF(O21="C",$J$14,IF(O21="D",$M$14,IF(O21="E",$P$14,IF(O21="F",$S$14,0))))))</f>
        <v>0</v>
      </c>
      <c r="BM21" s="51">
        <f>IF(O21="A",$D$15,IF(O21="B",$G$15,IF(O21="C",$J$15,IF(O21="D",$M$15,IF(O21="E",$P$15,IF(O21="F",$S$15,0))))))</f>
        <v>0</v>
      </c>
      <c r="BN21" s="51">
        <f>IF(O21="A",$D$16,IF(O21="B",$G$16,IF(O21="C",$J$16,IF(O21="D",$M$16,IF(O21="E",$P$16,IF(O21="F",$S$16,0))))))</f>
        <v>0</v>
      </c>
      <c r="BO21" s="51">
        <f>IF(P21="A",$D$14,IF(P21="B",$G$14,IF(P21="C",$J$14,IF(P21="D",$M$14,IF(P21="E",$P$14,IF(P21="F",$S$16,0))))))</f>
        <v>0</v>
      </c>
      <c r="BP21" s="51">
        <f>IF(P21="A",$D$15,IF(P21="B",$G$15,IF(P21="C",$J$15,IF(P21="D",$M$15,IF(P21="E",$P$15,IF(P21="F",$S$16,0))))))</f>
        <v>0</v>
      </c>
      <c r="BQ21" s="51">
        <f>IF(P21="A",$D$16,IF(P21="B",$G$16,IF(P21="C",$J$16,IF(P21="D",$M$16,IF(P21="E",$P$16,IF(P21="F",$S$16,0))))))</f>
        <v>0</v>
      </c>
    </row>
    <row r="22" spans="2:69" ht="15.75" thickBot="1" x14ac:dyDescent="0.3">
      <c r="B22" s="91" t="s">
        <v>94</v>
      </c>
      <c r="C22" s="116" t="s">
        <v>87</v>
      </c>
      <c r="D22" s="112" t="s">
        <v>86</v>
      </c>
      <c r="E22" s="111" t="s">
        <v>86</v>
      </c>
      <c r="F22" s="112" t="s">
        <v>86</v>
      </c>
      <c r="G22" s="111" t="s">
        <v>86</v>
      </c>
      <c r="H22" s="112" t="s">
        <v>86</v>
      </c>
      <c r="I22" s="111" t="s">
        <v>86</v>
      </c>
      <c r="J22" s="112" t="s">
        <v>86</v>
      </c>
      <c r="K22" s="111" t="s">
        <v>86</v>
      </c>
      <c r="L22" s="112" t="s">
        <v>87</v>
      </c>
      <c r="M22" s="111"/>
      <c r="N22" s="112"/>
      <c r="O22" s="111"/>
      <c r="P22" s="191"/>
      <c r="Q22" s="80"/>
      <c r="R22" s="80"/>
      <c r="S22" s="80"/>
      <c r="T22" s="80"/>
      <c r="U22" s="80"/>
      <c r="V22" s="80"/>
      <c r="W22" s="80"/>
      <c r="Z22" s="66"/>
      <c r="AA22" s="95" t="s">
        <v>94</v>
      </c>
      <c r="AB22" s="51">
        <f>IF(C22="A",$D$14,IF(C22="B",$G$14,IF(C22="C",$J$14,IF(C22="D",$M$14,IF(C22="E",$P$14,IF(C22="F",$S$14,0))))))</f>
        <v>7.4</v>
      </c>
      <c r="AC22" s="51">
        <f>IF(C22="A",$D$15,IF(C22="B",$G$15,IF(C22="C",$J$15,IF(C22="D",$M$15,IF(C22="E",$P$15,IF(C22="F",$S$15,0))))))</f>
        <v>6.4</v>
      </c>
      <c r="AD22" s="51">
        <f>IF(C22="A",$D$16,IF(C22="B",$G$16,IF(C22="C",$J$16,IF(C22="D",$M$16,IF(C22="E",$P$16,IF(C22="F",$S$16,0))))))</f>
        <v>11.4</v>
      </c>
      <c r="AE22" s="51">
        <f>IF(D22="A",$D$14,IF(D22="B",$G$14,IF(D22="C",$J$14,IF(D22="D",$M$14,IF(D22="E",$P$14,IF(D22="F",$S$14,0))))))</f>
        <v>4.7</v>
      </c>
      <c r="AF22" s="51">
        <f>IF(D22="A",$D$15,IF(D22="B",$G$15,IF(D22="C",$J$15,IF(D22="D",$M$15,IF(D22="E",$P$15,IF(D22="F",$S$15,0))))))</f>
        <v>4.9000000000000004</v>
      </c>
      <c r="AG22" s="51">
        <f>IF(D22="A",$D$16,IF(D22="B",$G$16,IF(D22="C",$J$16,IF(D22="D",$M$16,IF(D22="E",$P$16,IF(D22="F",$S$16,0))))))</f>
        <v>7.8000000000000007</v>
      </c>
      <c r="AH22" s="51">
        <f>IF(E22="A",$D$14,IF(E22="B",$G$14,IF(E22="C",$J$14,IF(E22="D",$M$14,IF(E22="E",$P$14,IF(E22="F",$S$14,0))))))</f>
        <v>4.7</v>
      </c>
      <c r="AI22" s="51">
        <f>IF(E22="A",$D$15,IF(E22="B",$G$15,IF(E22="C",$J$15,IF(E22="D",$M$15,IF(E22="E",$P$15,IF(E22="F",$S$15,0))))))</f>
        <v>4.9000000000000004</v>
      </c>
      <c r="AJ22" s="51">
        <f>IF(E22="A",$D$16,IF(E22="B",$G$16,IF(E22="C",$J$16,IF(E22="D",$M$16,IF(E22="E",$P$16,IF(E22="F",$S$16,0))))))</f>
        <v>7.8000000000000007</v>
      </c>
      <c r="AK22" s="51">
        <f>IF(F22="A",$D$14,IF(F22="B",$G$14,IF(F22="C",$J$14,IF(F22="D",$M$14,IF(F22="E",$P$14,IF(F22="F",$S$14,0))))))</f>
        <v>4.7</v>
      </c>
      <c r="AL22" s="51">
        <f>IF(F22="A",$D$15,IF(F22="B",$G$15,IF(F22="C",$J$15,IF(F22="D",$M$15,IF(F22="E",$P$15,IF(F22="F",$S$15,0))))))</f>
        <v>4.9000000000000004</v>
      </c>
      <c r="AM22" s="51">
        <f>IF(F22="A",$D$16,IF(F22="B",$G$16,IF(F22="C",$J$16,IF(F22="D",$M$16,IF(F22="E",$P$16,IF(F22="F",$S$16,0))))))</f>
        <v>7.8000000000000007</v>
      </c>
      <c r="AN22" s="51">
        <f>IF(G22="A",$D$14,IF(G22="B",$G$14,IF(G22="C",$J$14,IF(G22="D",$M$14,IF(G22="E",$P$14,IF(G22="F",$S$14,0))))))</f>
        <v>4.7</v>
      </c>
      <c r="AO22" s="51">
        <f>IF(G22="A",$D$15,IF(G22="B",$G$15,IF(G22="C",$J$15,IF(G22="D",$M$15,IF(G22="E",$P$15,IF(G22="F",$S$15,0))))))</f>
        <v>4.9000000000000004</v>
      </c>
      <c r="AP22" s="51">
        <f>IF(G22="A",$D$16,IF(G22="B",$G$16,IF(G22="C",$J$16,IF(G22="D",$M$16,IF(G22="E",$P$16,IF(G22="F",$S$16,0))))))</f>
        <v>7.8000000000000007</v>
      </c>
      <c r="AQ22" s="51">
        <f>IF(H22="A",$D$14,IF(H22="B",$G$14,IF(H22="C",$J$14,IF(H22="D",$M$14,IF(H22="E",$P$14,IF(H22="F",$S$14,0))))))</f>
        <v>4.7</v>
      </c>
      <c r="AR22" s="51">
        <f>IF(H22="A",$D$15,IF(H22="B",$G$15,IF(H22="C",$J$15,IF(H22="D",$M$15,IF(H22="E",$P$15,IF(H22="F",$S$15,0))))))</f>
        <v>4.9000000000000004</v>
      </c>
      <c r="AS22" s="51">
        <f>IF(H22="A",$D$16,IF(H22="B",$G$16,IF(H22="C",$J$16,IF(H22="D",$M$16,IF(H22="E",$P$16,IF(H22="F",$S$16,0))))))</f>
        <v>7.8000000000000007</v>
      </c>
      <c r="AT22" s="51">
        <f>IF(I22="A",$D$14,IF(I22="B",$G$14,IF(I22="C",$J$14,IF(I22="D",$M$14,IF(I22="E",$P$14,IF(I22="F",$S$14,0))))))</f>
        <v>4.7</v>
      </c>
      <c r="AU22" s="51">
        <f>IF(I22="A",$D$15,IF(I22="B",$G$15,IF(I22="C",$J$15,IF(I22="D",$M$15,IF(I22="E",$P$15,IF(I22="F",$S$15,0))))))</f>
        <v>4.9000000000000004</v>
      </c>
      <c r="AV22" s="51">
        <f>IF(I22="A",$D$16,IF(I22="B",$G$16,IF(I22="C",$J$16,IF(I22="D",$M$16,IF(I22="E",$P$16,IF(I22="F",$S$16,0))))))</f>
        <v>7.8000000000000007</v>
      </c>
      <c r="AW22" s="51">
        <f>IF(J22="A",$D$14,IF(J22="B",$G$14,IF(J22="C",$J$14,IF(J22="D",$M$14,IF(J22="E",$P$14,IF(J22="F",$S$14,0))))))</f>
        <v>4.7</v>
      </c>
      <c r="AX22" s="51">
        <f>IF(J22="A",$D$15,IF(J22="B",$G$15,IF(J22="C",$J$15,IF(J22="D",$M$15,IF(J22="E",$P$15,IF(J22="F",$S$15,0))))))</f>
        <v>4.9000000000000004</v>
      </c>
      <c r="AY22" s="51">
        <f>IF(J22="A",$D$16,IF(J22="B",$G$16,IF(J22="C",$J$16,IF(J22="D",$M$16,IF(J22="E",$P$16,IF(J22="F",$S$16,0))))))</f>
        <v>7.8000000000000007</v>
      </c>
      <c r="AZ22" s="51">
        <f>IF(K22="A",$D$14,IF(K22="B",$G$14,IF(K22="C",$J$14,IF(K22="D",$M$14,IF(K22="E",$P$14,IF(K22="F",$S$14,0))))))</f>
        <v>4.7</v>
      </c>
      <c r="BA22" s="51">
        <f>IF(K22="A",$D$15,IF(K22="B",$G$15,IF(K22="C",$J$15,IF(K22="D",$M$15,IF(K22="E",$P$15,IF(K22="F",$S$15,0))))))</f>
        <v>4.9000000000000004</v>
      </c>
      <c r="BB22" s="51">
        <f>IF(K22="A",$D$16,IF(K22="B",$G$16,IF(K22="C",$J$16,IF(K22="D",$M$16,IF(K22="E",$P$16,IF(K22="F",$S$16,0))))))</f>
        <v>7.8000000000000007</v>
      </c>
      <c r="BC22" s="51">
        <f t="shared" ref="BC22:BC62" si="0">IF(L22="A",$D$14,IF(L22="B",$G$14,IF(L22="C",$J$14,IF(L22="D",$M$14,IF(L22="E",$P$14,IF(L22="F",$S$14,0))))))</f>
        <v>7.4</v>
      </c>
      <c r="BD22" s="51">
        <f t="shared" ref="BD22:BD62" si="1">IF(L22="A",$D$15,IF(L22="B",$G$15,IF(L22="C",$J$15,IF(L22="D",$M$15,IF(L22="E",$P$15,IF(L22="F",$S$15,0))))))</f>
        <v>6.4</v>
      </c>
      <c r="BE22" s="51">
        <f t="shared" ref="BE22:BE62" si="2">IF(L22="A",$D$16,IF(L22="B",$G$16,IF(L22="C",$J$16,IF(L22="D",$M$16,IF(L22="E",$P$16,IF(L22="F",$S$16,0))))))</f>
        <v>11.4</v>
      </c>
      <c r="BF22" s="51">
        <f t="shared" ref="BF22:BF62" si="3">IF(M22="A",$D$14,IF(M22="B",$G$14,IF(M22="C",$J$14,IF(M22="D",$M$14,IF(M22="E",$P$14,IF(M22="F",$S$14,0))))))</f>
        <v>0</v>
      </c>
      <c r="BG22" s="51">
        <f t="shared" ref="BG22:BG62" si="4">IF(M22="A",$D$15,IF(M22="B",$G$15,IF(M22="C",$J$15,IF(M22="D",$M$15,IF(M22="E",$P$15,IF(M22="F",$S$15,0))))))</f>
        <v>0</v>
      </c>
      <c r="BH22" s="51">
        <f t="shared" ref="BH22:BH62" si="5">IF(M22="A",$D$16,IF(M22="B",$G$16,IF(M22="C",$J$16,IF(M22="D",$M$16,IF(M22="E",$P$16,IF(M22="F",$S$16,0))))))</f>
        <v>0</v>
      </c>
      <c r="BI22" s="51">
        <f t="shared" ref="BI22:BI62" si="6">IF(N22="A",$D$14,IF(N22="B",$G$14,IF(N22="C",$J$14,IF(N22="D",$M$14,IF(N22="E",$P$14,IF(N22="F",$S$14,0))))))</f>
        <v>0</v>
      </c>
      <c r="BJ22" s="51">
        <f t="shared" ref="BJ22:BJ62" si="7">IF(N22="A",$D$15,IF(N22="B",$G$15,IF(N22="C",$J$15,IF(N22="D",$M$15,IF(N22="E",$P$15,IF(N22="F",$S$15,0))))))</f>
        <v>0</v>
      </c>
      <c r="BK22" s="51">
        <f t="shared" ref="BK22:BK62" si="8">IF(N22="A",$D$16,IF(N22="B",$G$16,IF(N22="C",$J$16,IF(N22="D",$M$16,IF(N22="E",$P$16,IF(N22="F",$S$16,0))))))</f>
        <v>0</v>
      </c>
      <c r="BL22" s="51">
        <f t="shared" ref="BL22:BL62" si="9">IF(O22="A",$D$14,IF(O22="B",$G$14,IF(O22="C",$J$14,IF(O22="D",$M$14,IF(O22="E",$P$14,IF(O22="F",$S$14,0))))))</f>
        <v>0</v>
      </c>
      <c r="BM22" s="51">
        <f t="shared" ref="BM22:BM62" si="10">IF(O22="A",$D$15,IF(O22="B",$G$15,IF(O22="C",$J$15,IF(O22="D",$M$15,IF(O22="E",$P$15,IF(O22="F",$S$15,0))))))</f>
        <v>0</v>
      </c>
      <c r="BN22" s="51">
        <f t="shared" ref="BN22:BN62" si="11">IF(O22="A",$D$16,IF(O22="B",$G$16,IF(O22="C",$J$16,IF(O22="D",$M$16,IF(O22="E",$P$16,IF(O22="F",$S$16,0))))))</f>
        <v>0</v>
      </c>
      <c r="BO22" s="51">
        <f t="shared" ref="BO22:BO62" si="12">IF(P22="A",$D$14,IF(P22="B",$G$14,IF(P22="C",$J$14,IF(P22="D",$M$14,IF(P22="E",$P$14,IF(P22="F",$S$16,0))))))</f>
        <v>0</v>
      </c>
      <c r="BP22" s="51">
        <f t="shared" ref="BP22:BP62" si="13">IF(P22="A",$D$15,IF(P22="B",$G$15,IF(P22="C",$J$15,IF(P22="D",$M$15,IF(P22="E",$P$15,IF(P22="F",$S$16,0))))))</f>
        <v>0</v>
      </c>
      <c r="BQ22" s="51">
        <f t="shared" ref="BQ22:BQ62" si="14">IF(P22="A",$D$16,IF(P22="B",$G$16,IF(P22="C",$J$16,IF(P22="D",$M$16,IF(P22="E",$P$16,IF(P22="F",$S$16,0))))))</f>
        <v>0</v>
      </c>
    </row>
    <row r="23" spans="2:69" ht="15.75" thickBot="1" x14ac:dyDescent="0.3">
      <c r="B23" s="91" t="s">
        <v>95</v>
      </c>
      <c r="C23" s="116" t="s">
        <v>87</v>
      </c>
      <c r="D23" s="112" t="s">
        <v>86</v>
      </c>
      <c r="E23" s="111" t="s">
        <v>86</v>
      </c>
      <c r="F23" s="112" t="s">
        <v>86</v>
      </c>
      <c r="G23" s="111" t="s">
        <v>86</v>
      </c>
      <c r="H23" s="112" t="s">
        <v>86</v>
      </c>
      <c r="I23" s="111" t="s">
        <v>86</v>
      </c>
      <c r="J23" s="112" t="s">
        <v>86</v>
      </c>
      <c r="K23" s="111" t="s">
        <v>86</v>
      </c>
      <c r="L23" s="112" t="s">
        <v>87</v>
      </c>
      <c r="M23" s="111"/>
      <c r="N23" s="112"/>
      <c r="O23" s="111"/>
      <c r="P23" s="191"/>
      <c r="Z23" s="66"/>
      <c r="AA23" s="95" t="s">
        <v>95</v>
      </c>
      <c r="AB23" s="51">
        <f t="shared" ref="AB23:AB28" si="15">IF(C23="A",$D$14,IF(C23="B",$G$14,IF(C23="C",$J$14,IF(C23="D",$M$14,IF(C23="E",$P$14,IF(C23="F",$S$14,0))))))</f>
        <v>7.4</v>
      </c>
      <c r="AC23" s="51">
        <f t="shared" ref="AC23:AC28" si="16">IF(C23="A",$D$15,IF(C23="B",$G$15,IF(C23="C",$J$15,IF(C23="D",$M$15,IF(C23="E",$P$15,IF(C23="F",$S$15,0))))))</f>
        <v>6.4</v>
      </c>
      <c r="AD23" s="51">
        <f t="shared" ref="AD23:AD28" si="17">IF(C23="A",$D$16,IF(C23="B",$G$16,IF(C23="C",$J$16,IF(C23="D",$M$16,IF(C23="E",$P$16,IF(C23="F",$S$16,0))))))</f>
        <v>11.4</v>
      </c>
      <c r="AE23" s="51">
        <f t="shared" ref="AE23:AE28" si="18">IF(D23="A",$D$14,IF(D23="B",$G$14,IF(D23="C",$J$14,IF(D23="D",$M$14,IF(D23="E",$P$14,IF(D23="F",$S$14,0))))))</f>
        <v>4.7</v>
      </c>
      <c r="AF23" s="51">
        <f t="shared" ref="AF23:AF28" si="19">IF(D23="A",$D$15,IF(D23="B",$G$15,IF(D23="C",$J$15,IF(D23="D",$M$15,IF(D23="E",$P$15,IF(D23="F",$S$15,0))))))</f>
        <v>4.9000000000000004</v>
      </c>
      <c r="AG23" s="51">
        <f t="shared" ref="AG23:AG28" si="20">IF(D23="A",$D$16,IF(D23="B",$G$16,IF(D23="C",$J$16,IF(D23="D",$M$16,IF(D23="E",$P$16,IF(D23="F",$S$16,0))))))</f>
        <v>7.8000000000000007</v>
      </c>
      <c r="AH23" s="51">
        <f t="shared" ref="AH23:AH62" si="21">IF(E23="A",$D$14,IF(E23="B",$G$14,IF(E23="C",$J$14,IF(E23="D",$M$14,IF(E23="E",$P$14,IF(E23="F",$S$14,0))))))</f>
        <v>4.7</v>
      </c>
      <c r="AI23" s="51">
        <f t="shared" ref="AI23:AI62" si="22">IF(E23="A",$D$15,IF(E23="B",$G$15,IF(E23="C",$J$15,IF(E23="D",$M$15,IF(E23="E",$P$15,IF(E23="F",$S$15,0))))))</f>
        <v>4.9000000000000004</v>
      </c>
      <c r="AJ23" s="51">
        <f t="shared" ref="AJ23:AJ62" si="23">IF(E23="A",$D$16,IF(E23="B",$G$16,IF(E23="C",$J$16,IF(E23="D",$M$16,IF(E23="E",$P$16,IF(E23="F",$S$16,0))))))</f>
        <v>7.8000000000000007</v>
      </c>
      <c r="AK23" s="51">
        <f t="shared" ref="AK23:AK62" si="24">IF(F23="A",$D$14,IF(F23="B",$G$14,IF(F23="C",$J$14,IF(F23="D",$M$14,IF(F23="E",$P$14,IF(F23="F",$S$14,0))))))</f>
        <v>4.7</v>
      </c>
      <c r="AL23" s="51">
        <f t="shared" ref="AL23:AL62" si="25">IF(F23="A",$D$15,IF(F23="B",$G$15,IF(F23="C",$J$15,IF(F23="D",$M$15,IF(F23="E",$P$15,IF(F23="F",$S$15,0))))))</f>
        <v>4.9000000000000004</v>
      </c>
      <c r="AM23" s="51">
        <f t="shared" ref="AM23:AM62" si="26">IF(F23="A",$D$16,IF(F23="B",$G$16,IF(F23="C",$J$16,IF(F23="D",$M$16,IF(F23="E",$P$16,IF(F23="F",$S$16,0))))))</f>
        <v>7.8000000000000007</v>
      </c>
      <c r="AN23" s="51">
        <f t="shared" ref="AN23:AN62" si="27">IF(G23="A",$D$14,IF(G23="B",$G$14,IF(G23="C",$J$14,IF(G23="D",$M$14,IF(G23="E",$P$14,IF(G23="F",$S$14,0))))))</f>
        <v>4.7</v>
      </c>
      <c r="AO23" s="51">
        <f t="shared" ref="AO23:AO62" si="28">IF(G23="A",$D$15,IF(G23="B",$G$15,IF(G23="C",$J$15,IF(G23="D",$M$15,IF(G23="E",$P$15,IF(G23="F",$S$15,0))))))</f>
        <v>4.9000000000000004</v>
      </c>
      <c r="AP23" s="51">
        <f t="shared" ref="AP23:AP62" si="29">IF(G23="A",$D$16,IF(G23="B",$G$16,IF(G23="C",$J$16,IF(G23="D",$M$16,IF(G23="E",$P$16,IF(G23="F",$S$16,0))))))</f>
        <v>7.8000000000000007</v>
      </c>
      <c r="AQ23" s="51">
        <f t="shared" ref="AQ23:AQ62" si="30">IF(H23="A",$D$14,IF(H23="B",$G$14,IF(H23="C",$J$14,IF(H23="D",$M$14,IF(H23="E",$P$14,IF(H23="F",$S$14,0))))))</f>
        <v>4.7</v>
      </c>
      <c r="AR23" s="51">
        <f t="shared" ref="AR23:AR62" si="31">IF(H23="A",$D$15,IF(H23="B",$G$15,IF(H23="C",$J$15,IF(H23="D",$M$15,IF(H23="E",$P$15,IF(H23="F",$S$15,0))))))</f>
        <v>4.9000000000000004</v>
      </c>
      <c r="AS23" s="51">
        <f t="shared" ref="AS23:AS62" si="32">IF(H23="A",$D$16,IF(H23="B",$G$16,IF(H23="C",$J$16,IF(H23="D",$M$16,IF(H23="E",$P$16,IF(H23="F",$S$16,0))))))</f>
        <v>7.8000000000000007</v>
      </c>
      <c r="AT23" s="51">
        <f t="shared" ref="AT23:AT62" si="33">IF(I23="A",$D$14,IF(I23="B",$G$14,IF(I23="C",$J$14,IF(I23="D",$M$14,IF(I23="E",$P$14,IF(I23="F",$S$14,0))))))</f>
        <v>4.7</v>
      </c>
      <c r="AU23" s="51">
        <f t="shared" ref="AU23:AU62" si="34">IF(I23="A",$D$15,IF(I23="B",$G$15,IF(I23="C",$J$15,IF(I23="D",$M$15,IF(I23="E",$P$15,IF(I23="F",$S$15,0))))))</f>
        <v>4.9000000000000004</v>
      </c>
      <c r="AV23" s="51">
        <f t="shared" ref="AV23:AV62" si="35">IF(I23="A",$D$16,IF(I23="B",$G$16,IF(I23="C",$J$16,IF(I23="D",$M$16,IF(I23="E",$P$16,IF(I23="F",$S$16,0))))))</f>
        <v>7.8000000000000007</v>
      </c>
      <c r="AW23" s="51">
        <f t="shared" ref="AW23:AW62" si="36">IF(J23="A",$D$14,IF(J23="B",$G$14,IF(J23="C",$J$14,IF(J23="D",$M$14,IF(J23="E",$P$14,IF(J23="F",$S$14,0))))))</f>
        <v>4.7</v>
      </c>
      <c r="AX23" s="51">
        <f t="shared" ref="AX23:AX62" si="37">IF(J23="A",$D$15,IF(J23="B",$G$15,IF(J23="C",$J$15,IF(J23="D",$M$15,IF(J23="E",$P$15,IF(J23="F",$S$15,0))))))</f>
        <v>4.9000000000000004</v>
      </c>
      <c r="AY23" s="51">
        <f t="shared" ref="AY23:AY62" si="38">IF(J23="A",$D$16,IF(J23="B",$G$16,IF(J23="C",$J$16,IF(J23="D",$M$16,IF(J23="E",$P$16,IF(J23="F",$S$16,0))))))</f>
        <v>7.8000000000000007</v>
      </c>
      <c r="AZ23" s="51">
        <f t="shared" ref="AZ23:AZ62" si="39">IF(K23="A",$D$14,IF(K23="B",$G$14,IF(K23="C",$J$14,IF(K23="D",$M$14,IF(K23="E",$P$14,IF(K23="F",$S$14,0))))))</f>
        <v>4.7</v>
      </c>
      <c r="BA23" s="51">
        <f t="shared" ref="BA23:BA62" si="40">IF(K23="A",$D$15,IF(K23="B",$G$15,IF(K23="C",$J$15,IF(K23="D",$M$15,IF(K23="E",$P$15,IF(K23="F",$S$15,0))))))</f>
        <v>4.9000000000000004</v>
      </c>
      <c r="BB23" s="51">
        <f t="shared" ref="BB23:BB62" si="41">IF(K23="A",$D$16,IF(K23="B",$G$16,IF(K23="C",$J$16,IF(K23="D",$M$16,IF(K23="E",$P$16,IF(K23="F",$S$16,0))))))</f>
        <v>7.8000000000000007</v>
      </c>
      <c r="BC23" s="51">
        <f t="shared" si="0"/>
        <v>7.4</v>
      </c>
      <c r="BD23" s="51">
        <f t="shared" si="1"/>
        <v>6.4</v>
      </c>
      <c r="BE23" s="51">
        <f t="shared" si="2"/>
        <v>11.4</v>
      </c>
      <c r="BF23" s="51">
        <f t="shared" si="3"/>
        <v>0</v>
      </c>
      <c r="BG23" s="51">
        <f t="shared" si="4"/>
        <v>0</v>
      </c>
      <c r="BH23" s="51">
        <f t="shared" si="5"/>
        <v>0</v>
      </c>
      <c r="BI23" s="51">
        <f t="shared" si="6"/>
        <v>0</v>
      </c>
      <c r="BJ23" s="51">
        <f t="shared" si="7"/>
        <v>0</v>
      </c>
      <c r="BK23" s="51">
        <f t="shared" si="8"/>
        <v>0</v>
      </c>
      <c r="BL23" s="51">
        <f t="shared" si="9"/>
        <v>0</v>
      </c>
      <c r="BM23" s="51">
        <f t="shared" si="10"/>
        <v>0</v>
      </c>
      <c r="BN23" s="51">
        <f t="shared" si="11"/>
        <v>0</v>
      </c>
      <c r="BO23" s="51">
        <f t="shared" si="12"/>
        <v>0</v>
      </c>
      <c r="BP23" s="51">
        <f t="shared" si="13"/>
        <v>0</v>
      </c>
      <c r="BQ23" s="51">
        <f t="shared" si="14"/>
        <v>0</v>
      </c>
    </row>
    <row r="24" spans="2:69" ht="15" customHeight="1" thickBot="1" x14ac:dyDescent="0.3">
      <c r="B24" s="91" t="s">
        <v>96</v>
      </c>
      <c r="C24" s="116" t="s">
        <v>87</v>
      </c>
      <c r="D24" s="112" t="s">
        <v>86</v>
      </c>
      <c r="E24" s="111" t="s">
        <v>86</v>
      </c>
      <c r="F24" s="112" t="s">
        <v>86</v>
      </c>
      <c r="G24" s="111" t="s">
        <v>86</v>
      </c>
      <c r="H24" s="112" t="s">
        <v>86</v>
      </c>
      <c r="I24" s="111" t="s">
        <v>86</v>
      </c>
      <c r="J24" s="112" t="s">
        <v>86</v>
      </c>
      <c r="K24" s="111" t="s">
        <v>86</v>
      </c>
      <c r="L24" s="112" t="s">
        <v>87</v>
      </c>
      <c r="M24" s="111"/>
      <c r="N24" s="112"/>
      <c r="O24" s="111"/>
      <c r="P24" s="191"/>
      <c r="Z24" s="66"/>
      <c r="AA24" s="95" t="s">
        <v>96</v>
      </c>
      <c r="AB24" s="51">
        <f t="shared" si="15"/>
        <v>7.4</v>
      </c>
      <c r="AC24" s="51">
        <f t="shared" si="16"/>
        <v>6.4</v>
      </c>
      <c r="AD24" s="51">
        <f t="shared" si="17"/>
        <v>11.4</v>
      </c>
      <c r="AE24" s="51">
        <f t="shared" si="18"/>
        <v>4.7</v>
      </c>
      <c r="AF24" s="51">
        <f t="shared" si="19"/>
        <v>4.9000000000000004</v>
      </c>
      <c r="AG24" s="51">
        <f t="shared" si="20"/>
        <v>7.8000000000000007</v>
      </c>
      <c r="AH24" s="51">
        <f t="shared" si="21"/>
        <v>4.7</v>
      </c>
      <c r="AI24" s="51">
        <f t="shared" si="22"/>
        <v>4.9000000000000004</v>
      </c>
      <c r="AJ24" s="51">
        <f t="shared" si="23"/>
        <v>7.8000000000000007</v>
      </c>
      <c r="AK24" s="51">
        <f t="shared" si="24"/>
        <v>4.7</v>
      </c>
      <c r="AL24" s="51">
        <f t="shared" si="25"/>
        <v>4.9000000000000004</v>
      </c>
      <c r="AM24" s="51">
        <f t="shared" si="26"/>
        <v>7.8000000000000007</v>
      </c>
      <c r="AN24" s="51">
        <f t="shared" si="27"/>
        <v>4.7</v>
      </c>
      <c r="AO24" s="51">
        <f t="shared" si="28"/>
        <v>4.9000000000000004</v>
      </c>
      <c r="AP24" s="51">
        <f t="shared" si="29"/>
        <v>7.8000000000000007</v>
      </c>
      <c r="AQ24" s="51">
        <f t="shared" si="30"/>
        <v>4.7</v>
      </c>
      <c r="AR24" s="51">
        <f t="shared" si="31"/>
        <v>4.9000000000000004</v>
      </c>
      <c r="AS24" s="51">
        <f t="shared" si="32"/>
        <v>7.8000000000000007</v>
      </c>
      <c r="AT24" s="51">
        <f t="shared" si="33"/>
        <v>4.7</v>
      </c>
      <c r="AU24" s="51">
        <f t="shared" si="34"/>
        <v>4.9000000000000004</v>
      </c>
      <c r="AV24" s="51">
        <f t="shared" si="35"/>
        <v>7.8000000000000007</v>
      </c>
      <c r="AW24" s="51">
        <f t="shared" si="36"/>
        <v>4.7</v>
      </c>
      <c r="AX24" s="51">
        <f t="shared" si="37"/>
        <v>4.9000000000000004</v>
      </c>
      <c r="AY24" s="51">
        <f t="shared" si="38"/>
        <v>7.8000000000000007</v>
      </c>
      <c r="AZ24" s="51">
        <f t="shared" si="39"/>
        <v>4.7</v>
      </c>
      <c r="BA24" s="51">
        <f t="shared" si="40"/>
        <v>4.9000000000000004</v>
      </c>
      <c r="BB24" s="51">
        <f t="shared" si="41"/>
        <v>7.8000000000000007</v>
      </c>
      <c r="BC24" s="51">
        <f t="shared" si="0"/>
        <v>7.4</v>
      </c>
      <c r="BD24" s="51">
        <f t="shared" si="1"/>
        <v>6.4</v>
      </c>
      <c r="BE24" s="51">
        <f t="shared" si="2"/>
        <v>11.4</v>
      </c>
      <c r="BF24" s="51">
        <f t="shared" si="3"/>
        <v>0</v>
      </c>
      <c r="BG24" s="51">
        <f t="shared" si="4"/>
        <v>0</v>
      </c>
      <c r="BH24" s="51">
        <f t="shared" si="5"/>
        <v>0</v>
      </c>
      <c r="BI24" s="51">
        <f t="shared" si="6"/>
        <v>0</v>
      </c>
      <c r="BJ24" s="51">
        <f t="shared" si="7"/>
        <v>0</v>
      </c>
      <c r="BK24" s="51">
        <f t="shared" si="8"/>
        <v>0</v>
      </c>
      <c r="BL24" s="51">
        <f t="shared" si="9"/>
        <v>0</v>
      </c>
      <c r="BM24" s="51">
        <f t="shared" si="10"/>
        <v>0</v>
      </c>
      <c r="BN24" s="51">
        <f t="shared" si="11"/>
        <v>0</v>
      </c>
      <c r="BO24" s="51">
        <f t="shared" si="12"/>
        <v>0</v>
      </c>
      <c r="BP24" s="51">
        <f t="shared" si="13"/>
        <v>0</v>
      </c>
      <c r="BQ24" s="51">
        <f t="shared" si="14"/>
        <v>0</v>
      </c>
    </row>
    <row r="25" spans="2:69" ht="14.25" customHeight="1" thickBot="1" x14ac:dyDescent="0.3">
      <c r="B25" s="91" t="s">
        <v>97</v>
      </c>
      <c r="C25" s="116" t="s">
        <v>86</v>
      </c>
      <c r="D25" s="112" t="s">
        <v>86</v>
      </c>
      <c r="E25" s="111" t="s">
        <v>86</v>
      </c>
      <c r="F25" s="112" t="s">
        <v>86</v>
      </c>
      <c r="G25" s="111" t="s">
        <v>86</v>
      </c>
      <c r="H25" s="112" t="s">
        <v>86</v>
      </c>
      <c r="I25" s="111" t="s">
        <v>86</v>
      </c>
      <c r="J25" s="112" t="s">
        <v>86</v>
      </c>
      <c r="K25" s="111" t="s">
        <v>86</v>
      </c>
      <c r="L25" s="112" t="s">
        <v>87</v>
      </c>
      <c r="M25" s="111"/>
      <c r="N25" s="112"/>
      <c r="O25" s="111"/>
      <c r="P25" s="191"/>
      <c r="Z25" s="66"/>
      <c r="AA25" s="95" t="s">
        <v>97</v>
      </c>
      <c r="AB25" s="51">
        <f t="shared" si="15"/>
        <v>4.7</v>
      </c>
      <c r="AC25" s="51">
        <f t="shared" si="16"/>
        <v>4.9000000000000004</v>
      </c>
      <c r="AD25" s="51">
        <f t="shared" si="17"/>
        <v>7.8000000000000007</v>
      </c>
      <c r="AE25" s="51">
        <f t="shared" si="18"/>
        <v>4.7</v>
      </c>
      <c r="AF25" s="51">
        <f t="shared" si="19"/>
        <v>4.9000000000000004</v>
      </c>
      <c r="AG25" s="51">
        <f t="shared" si="20"/>
        <v>7.8000000000000007</v>
      </c>
      <c r="AH25" s="51">
        <f t="shared" si="21"/>
        <v>4.7</v>
      </c>
      <c r="AI25" s="51">
        <f t="shared" si="22"/>
        <v>4.9000000000000004</v>
      </c>
      <c r="AJ25" s="51">
        <f t="shared" si="23"/>
        <v>7.8000000000000007</v>
      </c>
      <c r="AK25" s="51">
        <f t="shared" si="24"/>
        <v>4.7</v>
      </c>
      <c r="AL25" s="51">
        <f t="shared" si="25"/>
        <v>4.9000000000000004</v>
      </c>
      <c r="AM25" s="51">
        <f t="shared" si="26"/>
        <v>7.8000000000000007</v>
      </c>
      <c r="AN25" s="51">
        <f t="shared" si="27"/>
        <v>4.7</v>
      </c>
      <c r="AO25" s="51">
        <f t="shared" si="28"/>
        <v>4.9000000000000004</v>
      </c>
      <c r="AP25" s="51">
        <f t="shared" si="29"/>
        <v>7.8000000000000007</v>
      </c>
      <c r="AQ25" s="51">
        <f t="shared" si="30"/>
        <v>4.7</v>
      </c>
      <c r="AR25" s="51">
        <f t="shared" si="31"/>
        <v>4.9000000000000004</v>
      </c>
      <c r="AS25" s="51">
        <f t="shared" si="32"/>
        <v>7.8000000000000007</v>
      </c>
      <c r="AT25" s="51">
        <f t="shared" si="33"/>
        <v>4.7</v>
      </c>
      <c r="AU25" s="51">
        <f t="shared" si="34"/>
        <v>4.9000000000000004</v>
      </c>
      <c r="AV25" s="51">
        <f t="shared" si="35"/>
        <v>7.8000000000000007</v>
      </c>
      <c r="AW25" s="51">
        <f t="shared" si="36"/>
        <v>4.7</v>
      </c>
      <c r="AX25" s="51">
        <f t="shared" si="37"/>
        <v>4.9000000000000004</v>
      </c>
      <c r="AY25" s="51">
        <f t="shared" si="38"/>
        <v>7.8000000000000007</v>
      </c>
      <c r="AZ25" s="51">
        <f t="shared" si="39"/>
        <v>4.7</v>
      </c>
      <c r="BA25" s="51">
        <f t="shared" si="40"/>
        <v>4.9000000000000004</v>
      </c>
      <c r="BB25" s="51">
        <f t="shared" si="41"/>
        <v>7.8000000000000007</v>
      </c>
      <c r="BC25" s="51">
        <f t="shared" si="0"/>
        <v>7.4</v>
      </c>
      <c r="BD25" s="51">
        <f t="shared" si="1"/>
        <v>6.4</v>
      </c>
      <c r="BE25" s="51">
        <f t="shared" si="2"/>
        <v>11.4</v>
      </c>
      <c r="BF25" s="51">
        <f t="shared" si="3"/>
        <v>0</v>
      </c>
      <c r="BG25" s="51">
        <f t="shared" si="4"/>
        <v>0</v>
      </c>
      <c r="BH25" s="51">
        <f t="shared" si="5"/>
        <v>0</v>
      </c>
      <c r="BI25" s="51">
        <f t="shared" si="6"/>
        <v>0</v>
      </c>
      <c r="BJ25" s="51">
        <f t="shared" si="7"/>
        <v>0</v>
      </c>
      <c r="BK25" s="51">
        <f t="shared" si="8"/>
        <v>0</v>
      </c>
      <c r="BL25" s="51">
        <f t="shared" si="9"/>
        <v>0</v>
      </c>
      <c r="BM25" s="51">
        <f t="shared" si="10"/>
        <v>0</v>
      </c>
      <c r="BN25" s="51">
        <f t="shared" si="11"/>
        <v>0</v>
      </c>
      <c r="BO25" s="51">
        <f t="shared" si="12"/>
        <v>0</v>
      </c>
      <c r="BP25" s="51">
        <f t="shared" si="13"/>
        <v>0</v>
      </c>
      <c r="BQ25" s="51">
        <f t="shared" si="14"/>
        <v>0</v>
      </c>
    </row>
    <row r="26" spans="2:69" ht="14.25" customHeight="1" thickBot="1" x14ac:dyDescent="0.3">
      <c r="B26" s="91" t="s">
        <v>98</v>
      </c>
      <c r="C26" s="116" t="s">
        <v>88</v>
      </c>
      <c r="D26" s="112"/>
      <c r="E26" s="111"/>
      <c r="F26" s="112"/>
      <c r="G26" s="111"/>
      <c r="H26" s="112"/>
      <c r="I26" s="111"/>
      <c r="J26" s="112"/>
      <c r="K26" s="111"/>
      <c r="L26" s="112"/>
      <c r="M26" s="111"/>
      <c r="N26" s="112"/>
      <c r="O26" s="111"/>
      <c r="P26" s="191"/>
      <c r="Z26" s="66"/>
      <c r="AA26" s="95" t="s">
        <v>98</v>
      </c>
      <c r="AB26" s="51">
        <f t="shared" si="15"/>
        <v>2.7</v>
      </c>
      <c r="AC26" s="51">
        <f t="shared" si="16"/>
        <v>0.5</v>
      </c>
      <c r="AD26" s="51">
        <f t="shared" si="17"/>
        <v>2.9</v>
      </c>
      <c r="AE26" s="51">
        <f t="shared" si="18"/>
        <v>0</v>
      </c>
      <c r="AF26" s="51">
        <f t="shared" si="19"/>
        <v>0</v>
      </c>
      <c r="AG26" s="51">
        <f t="shared" si="20"/>
        <v>0</v>
      </c>
      <c r="AH26" s="51">
        <f t="shared" si="21"/>
        <v>0</v>
      </c>
      <c r="AI26" s="51">
        <f t="shared" si="22"/>
        <v>0</v>
      </c>
      <c r="AJ26" s="51">
        <f t="shared" si="23"/>
        <v>0</v>
      </c>
      <c r="AK26" s="51">
        <f t="shared" si="24"/>
        <v>0</v>
      </c>
      <c r="AL26" s="51">
        <f t="shared" si="25"/>
        <v>0</v>
      </c>
      <c r="AM26" s="51">
        <f t="shared" si="26"/>
        <v>0</v>
      </c>
      <c r="AN26" s="51">
        <f t="shared" si="27"/>
        <v>0</v>
      </c>
      <c r="AO26" s="51">
        <f t="shared" si="28"/>
        <v>0</v>
      </c>
      <c r="AP26" s="51">
        <f t="shared" si="29"/>
        <v>0</v>
      </c>
      <c r="AQ26" s="51">
        <f t="shared" si="30"/>
        <v>0</v>
      </c>
      <c r="AR26" s="51">
        <f t="shared" si="31"/>
        <v>0</v>
      </c>
      <c r="AS26" s="51">
        <f t="shared" si="32"/>
        <v>0</v>
      </c>
      <c r="AT26" s="51">
        <f t="shared" si="33"/>
        <v>0</v>
      </c>
      <c r="AU26" s="51">
        <f t="shared" si="34"/>
        <v>0</v>
      </c>
      <c r="AV26" s="51">
        <f t="shared" si="35"/>
        <v>0</v>
      </c>
      <c r="AW26" s="51">
        <f t="shared" si="36"/>
        <v>0</v>
      </c>
      <c r="AX26" s="51">
        <f t="shared" si="37"/>
        <v>0</v>
      </c>
      <c r="AY26" s="51">
        <f t="shared" si="38"/>
        <v>0</v>
      </c>
      <c r="AZ26" s="51">
        <f t="shared" si="39"/>
        <v>0</v>
      </c>
      <c r="BA26" s="51">
        <f t="shared" si="40"/>
        <v>0</v>
      </c>
      <c r="BB26" s="51">
        <f t="shared" si="41"/>
        <v>0</v>
      </c>
      <c r="BC26" s="51">
        <f t="shared" si="0"/>
        <v>0</v>
      </c>
      <c r="BD26" s="51">
        <f t="shared" si="1"/>
        <v>0</v>
      </c>
      <c r="BE26" s="51">
        <f t="shared" si="2"/>
        <v>0</v>
      </c>
      <c r="BF26" s="51">
        <f t="shared" si="3"/>
        <v>0</v>
      </c>
      <c r="BG26" s="51">
        <f t="shared" si="4"/>
        <v>0</v>
      </c>
      <c r="BH26" s="51">
        <f t="shared" si="5"/>
        <v>0</v>
      </c>
      <c r="BI26" s="51">
        <f t="shared" si="6"/>
        <v>0</v>
      </c>
      <c r="BJ26" s="51">
        <f t="shared" si="7"/>
        <v>0</v>
      </c>
      <c r="BK26" s="51">
        <f t="shared" si="8"/>
        <v>0</v>
      </c>
      <c r="BL26" s="51">
        <f t="shared" si="9"/>
        <v>0</v>
      </c>
      <c r="BM26" s="51">
        <f t="shared" si="10"/>
        <v>0</v>
      </c>
      <c r="BN26" s="51">
        <f t="shared" si="11"/>
        <v>0</v>
      </c>
      <c r="BO26" s="51">
        <f t="shared" si="12"/>
        <v>0</v>
      </c>
      <c r="BP26" s="51">
        <f t="shared" si="13"/>
        <v>0</v>
      </c>
      <c r="BQ26" s="51">
        <f t="shared" si="14"/>
        <v>0</v>
      </c>
    </row>
    <row r="27" spans="2:69" ht="14.25" hidden="1" customHeight="1" thickBot="1" x14ac:dyDescent="0.3">
      <c r="B27" s="91" t="s">
        <v>99</v>
      </c>
      <c r="C27" s="116"/>
      <c r="D27" s="112"/>
      <c r="E27" s="111"/>
      <c r="F27" s="112"/>
      <c r="G27" s="111"/>
      <c r="H27" s="112"/>
      <c r="I27" s="111"/>
      <c r="J27" s="112"/>
      <c r="K27" s="111"/>
      <c r="L27" s="112"/>
      <c r="M27" s="111"/>
      <c r="N27" s="112"/>
      <c r="O27" s="111"/>
      <c r="P27" s="191"/>
      <c r="Z27" s="66"/>
      <c r="AA27" s="95" t="s">
        <v>99</v>
      </c>
      <c r="AB27" s="51">
        <f t="shared" si="15"/>
        <v>0</v>
      </c>
      <c r="AC27" s="51">
        <f t="shared" si="16"/>
        <v>0</v>
      </c>
      <c r="AD27" s="51">
        <f t="shared" si="17"/>
        <v>0</v>
      </c>
      <c r="AE27" s="51">
        <f t="shared" si="18"/>
        <v>0</v>
      </c>
      <c r="AF27" s="51">
        <f t="shared" si="19"/>
        <v>0</v>
      </c>
      <c r="AG27" s="51">
        <f t="shared" si="20"/>
        <v>0</v>
      </c>
      <c r="AH27" s="51">
        <f t="shared" si="21"/>
        <v>0</v>
      </c>
      <c r="AI27" s="51">
        <f t="shared" si="22"/>
        <v>0</v>
      </c>
      <c r="AJ27" s="51">
        <f t="shared" si="23"/>
        <v>0</v>
      </c>
      <c r="AK27" s="51">
        <f t="shared" si="24"/>
        <v>0</v>
      </c>
      <c r="AL27" s="51">
        <f t="shared" si="25"/>
        <v>0</v>
      </c>
      <c r="AM27" s="51">
        <f t="shared" si="26"/>
        <v>0</v>
      </c>
      <c r="AN27" s="51">
        <f t="shared" si="27"/>
        <v>0</v>
      </c>
      <c r="AO27" s="51">
        <f t="shared" si="28"/>
        <v>0</v>
      </c>
      <c r="AP27" s="51">
        <f t="shared" si="29"/>
        <v>0</v>
      </c>
      <c r="AQ27" s="51">
        <f t="shared" si="30"/>
        <v>0</v>
      </c>
      <c r="AR27" s="51">
        <f t="shared" si="31"/>
        <v>0</v>
      </c>
      <c r="AS27" s="51">
        <f t="shared" si="32"/>
        <v>0</v>
      </c>
      <c r="AT27" s="51">
        <f t="shared" si="33"/>
        <v>0</v>
      </c>
      <c r="AU27" s="51">
        <f t="shared" si="34"/>
        <v>0</v>
      </c>
      <c r="AV27" s="51">
        <f t="shared" si="35"/>
        <v>0</v>
      </c>
      <c r="AW27" s="51">
        <f t="shared" si="36"/>
        <v>0</v>
      </c>
      <c r="AX27" s="51">
        <f t="shared" si="37"/>
        <v>0</v>
      </c>
      <c r="AY27" s="51">
        <f t="shared" si="38"/>
        <v>0</v>
      </c>
      <c r="AZ27" s="51">
        <f t="shared" si="39"/>
        <v>0</v>
      </c>
      <c r="BA27" s="51">
        <f t="shared" si="40"/>
        <v>0</v>
      </c>
      <c r="BB27" s="51">
        <f t="shared" si="41"/>
        <v>0</v>
      </c>
      <c r="BC27" s="51">
        <f t="shared" si="0"/>
        <v>0</v>
      </c>
      <c r="BD27" s="51">
        <f t="shared" si="1"/>
        <v>0</v>
      </c>
      <c r="BE27" s="51">
        <f t="shared" si="2"/>
        <v>0</v>
      </c>
      <c r="BF27" s="51">
        <f t="shared" si="3"/>
        <v>0</v>
      </c>
      <c r="BG27" s="51">
        <f t="shared" si="4"/>
        <v>0</v>
      </c>
      <c r="BH27" s="51">
        <f t="shared" si="5"/>
        <v>0</v>
      </c>
      <c r="BI27" s="51">
        <f t="shared" si="6"/>
        <v>0</v>
      </c>
      <c r="BJ27" s="51">
        <f t="shared" si="7"/>
        <v>0</v>
      </c>
      <c r="BK27" s="51">
        <f t="shared" si="8"/>
        <v>0</v>
      </c>
      <c r="BL27" s="51">
        <f t="shared" si="9"/>
        <v>0</v>
      </c>
      <c r="BM27" s="51">
        <f t="shared" si="10"/>
        <v>0</v>
      </c>
      <c r="BN27" s="51">
        <f t="shared" si="11"/>
        <v>0</v>
      </c>
      <c r="BO27" s="51">
        <f t="shared" si="12"/>
        <v>0</v>
      </c>
      <c r="BP27" s="51">
        <f t="shared" si="13"/>
        <v>0</v>
      </c>
      <c r="BQ27" s="51">
        <f t="shared" si="14"/>
        <v>0</v>
      </c>
    </row>
    <row r="28" spans="2:69" ht="14.25" hidden="1" customHeight="1" thickBot="1" x14ac:dyDescent="0.3">
      <c r="B28" s="91" t="s">
        <v>100</v>
      </c>
      <c r="C28" s="116"/>
      <c r="D28" s="112"/>
      <c r="E28" s="111"/>
      <c r="F28" s="112"/>
      <c r="G28" s="111"/>
      <c r="H28" s="112"/>
      <c r="I28" s="111"/>
      <c r="J28" s="112"/>
      <c r="K28" s="111"/>
      <c r="L28" s="112"/>
      <c r="M28" s="111"/>
      <c r="N28" s="112"/>
      <c r="O28" s="111"/>
      <c r="P28" s="191"/>
      <c r="AA28" s="95" t="s">
        <v>100</v>
      </c>
      <c r="AB28" s="51">
        <f t="shared" si="15"/>
        <v>0</v>
      </c>
      <c r="AC28" s="51">
        <f t="shared" si="16"/>
        <v>0</v>
      </c>
      <c r="AD28" s="51">
        <f t="shared" si="17"/>
        <v>0</v>
      </c>
      <c r="AE28" s="51">
        <f t="shared" si="18"/>
        <v>0</v>
      </c>
      <c r="AF28" s="51">
        <f t="shared" si="19"/>
        <v>0</v>
      </c>
      <c r="AG28" s="51">
        <f t="shared" si="20"/>
        <v>0</v>
      </c>
      <c r="AH28" s="51">
        <f t="shared" si="21"/>
        <v>0</v>
      </c>
      <c r="AI28" s="51">
        <f t="shared" si="22"/>
        <v>0</v>
      </c>
      <c r="AJ28" s="51">
        <f t="shared" si="23"/>
        <v>0</v>
      </c>
      <c r="AK28" s="51">
        <f t="shared" si="24"/>
        <v>0</v>
      </c>
      <c r="AL28" s="51">
        <f t="shared" si="25"/>
        <v>0</v>
      </c>
      <c r="AM28" s="51">
        <f t="shared" si="26"/>
        <v>0</v>
      </c>
      <c r="AN28" s="51">
        <f t="shared" si="27"/>
        <v>0</v>
      </c>
      <c r="AO28" s="51">
        <f t="shared" si="28"/>
        <v>0</v>
      </c>
      <c r="AP28" s="51">
        <f t="shared" si="29"/>
        <v>0</v>
      </c>
      <c r="AQ28" s="51">
        <f t="shared" si="30"/>
        <v>0</v>
      </c>
      <c r="AR28" s="51">
        <f t="shared" si="31"/>
        <v>0</v>
      </c>
      <c r="AS28" s="51">
        <f t="shared" si="32"/>
        <v>0</v>
      </c>
      <c r="AT28" s="51">
        <f t="shared" si="33"/>
        <v>0</v>
      </c>
      <c r="AU28" s="51">
        <f t="shared" si="34"/>
        <v>0</v>
      </c>
      <c r="AV28" s="51">
        <f t="shared" si="35"/>
        <v>0</v>
      </c>
      <c r="AW28" s="51">
        <f t="shared" si="36"/>
        <v>0</v>
      </c>
      <c r="AX28" s="51">
        <f t="shared" si="37"/>
        <v>0</v>
      </c>
      <c r="AY28" s="51">
        <f t="shared" si="38"/>
        <v>0</v>
      </c>
      <c r="AZ28" s="51">
        <f t="shared" si="39"/>
        <v>0</v>
      </c>
      <c r="BA28" s="51">
        <f t="shared" si="40"/>
        <v>0</v>
      </c>
      <c r="BB28" s="51">
        <f t="shared" si="41"/>
        <v>0</v>
      </c>
      <c r="BC28" s="51">
        <f t="shared" si="0"/>
        <v>0</v>
      </c>
      <c r="BD28" s="51">
        <f t="shared" si="1"/>
        <v>0</v>
      </c>
      <c r="BE28" s="51">
        <f t="shared" si="2"/>
        <v>0</v>
      </c>
      <c r="BF28" s="51">
        <f t="shared" si="3"/>
        <v>0</v>
      </c>
      <c r="BG28" s="51">
        <f t="shared" si="4"/>
        <v>0</v>
      </c>
      <c r="BH28" s="51">
        <f t="shared" si="5"/>
        <v>0</v>
      </c>
      <c r="BI28" s="51">
        <f t="shared" si="6"/>
        <v>0</v>
      </c>
      <c r="BJ28" s="51">
        <f t="shared" si="7"/>
        <v>0</v>
      </c>
      <c r="BK28" s="51">
        <f t="shared" si="8"/>
        <v>0</v>
      </c>
      <c r="BL28" s="51">
        <f t="shared" si="9"/>
        <v>0</v>
      </c>
      <c r="BM28" s="51">
        <f t="shared" si="10"/>
        <v>0</v>
      </c>
      <c r="BN28" s="51">
        <f t="shared" si="11"/>
        <v>0</v>
      </c>
      <c r="BO28" s="51">
        <f t="shared" si="12"/>
        <v>0</v>
      </c>
      <c r="BP28" s="51">
        <f t="shared" si="13"/>
        <v>0</v>
      </c>
      <c r="BQ28" s="51">
        <f t="shared" si="14"/>
        <v>0</v>
      </c>
    </row>
    <row r="29" spans="2:69" ht="14.25" hidden="1" customHeight="1" thickBot="1" x14ac:dyDescent="0.3">
      <c r="B29" s="91" t="s">
        <v>101</v>
      </c>
      <c r="C29" s="116"/>
      <c r="D29" s="112"/>
      <c r="E29" s="111"/>
      <c r="F29" s="112"/>
      <c r="G29" s="111"/>
      <c r="H29" s="112"/>
      <c r="I29" s="111"/>
      <c r="J29" s="112"/>
      <c r="K29" s="111"/>
      <c r="L29" s="112"/>
      <c r="M29" s="111"/>
      <c r="N29" s="112"/>
      <c r="O29" s="111"/>
      <c r="P29" s="191"/>
      <c r="Z29" s="66"/>
      <c r="AA29" s="95" t="s">
        <v>101</v>
      </c>
      <c r="AB29" s="51">
        <f t="shared" ref="AB29:AB62" si="42">IF(C29="A",$D$14,IF(C29="B",$G$14,IF(C29="C",$J$14,IF(C29="D",$M$14,IF(C29="E",$P$14,IF(C29="F",$S$14,0))))))</f>
        <v>0</v>
      </c>
      <c r="AC29" s="51">
        <f t="shared" ref="AC29:AC62" si="43">IF(C29="A",$D$15,IF(C29="B",$G$15,IF(C29="C",$J$15,IF(C29="D",$M$15,IF(C29="E",$P$15,IF(C29="F",$S$15,0))))))</f>
        <v>0</v>
      </c>
      <c r="AD29" s="51">
        <f t="shared" ref="AD29:AD62" si="44">IF(C29="A",$D$16,IF(C29="B",$G$16,IF(C29="C",$J$16,IF(C29="D",$M$16,IF(C29="E",$P$16,IF(C29="F",$S$16,0))))))</f>
        <v>0</v>
      </c>
      <c r="AE29" s="51">
        <f t="shared" ref="AE29:AE62" si="45">IF(D29="A",$D$14,IF(D29="B",$G$14,IF(D29="C",$J$14,IF(D29="D",$M$14,IF(D29="E",$P$14,IF(D29="F",$S$14,0))))))</f>
        <v>0</v>
      </c>
      <c r="AF29" s="51">
        <f t="shared" ref="AF29:AF62" si="46">IF(D29="A",$D$15,IF(D29="B",$G$15,IF(D29="C",$J$15,IF(D29="D",$M$15,IF(D29="E",$P$15,IF(D29="F",$S$15,0))))))</f>
        <v>0</v>
      </c>
      <c r="AG29" s="51">
        <f t="shared" ref="AG29:AG62" si="47">IF(D29="A",$D$16,IF(D29="B",$G$16,IF(D29="C",$J$16,IF(D29="D",$M$16,IF(D29="E",$P$16,IF(D29="F",$S$16,0))))))</f>
        <v>0</v>
      </c>
      <c r="AH29" s="51">
        <f t="shared" si="21"/>
        <v>0</v>
      </c>
      <c r="AI29" s="51">
        <f t="shared" si="22"/>
        <v>0</v>
      </c>
      <c r="AJ29" s="51">
        <f t="shared" si="23"/>
        <v>0</v>
      </c>
      <c r="AK29" s="51">
        <f t="shared" si="24"/>
        <v>0</v>
      </c>
      <c r="AL29" s="51">
        <f t="shared" si="25"/>
        <v>0</v>
      </c>
      <c r="AM29" s="51">
        <f t="shared" si="26"/>
        <v>0</v>
      </c>
      <c r="AN29" s="51">
        <f t="shared" si="27"/>
        <v>0</v>
      </c>
      <c r="AO29" s="51">
        <f t="shared" si="28"/>
        <v>0</v>
      </c>
      <c r="AP29" s="51">
        <f t="shared" si="29"/>
        <v>0</v>
      </c>
      <c r="AQ29" s="51">
        <f t="shared" si="30"/>
        <v>0</v>
      </c>
      <c r="AR29" s="51">
        <f t="shared" si="31"/>
        <v>0</v>
      </c>
      <c r="AS29" s="51">
        <f t="shared" si="32"/>
        <v>0</v>
      </c>
      <c r="AT29" s="51">
        <f t="shared" si="33"/>
        <v>0</v>
      </c>
      <c r="AU29" s="51">
        <f t="shared" si="34"/>
        <v>0</v>
      </c>
      <c r="AV29" s="51">
        <f t="shared" si="35"/>
        <v>0</v>
      </c>
      <c r="AW29" s="51">
        <f t="shared" si="36"/>
        <v>0</v>
      </c>
      <c r="AX29" s="51">
        <f t="shared" si="37"/>
        <v>0</v>
      </c>
      <c r="AY29" s="51">
        <f t="shared" si="38"/>
        <v>0</v>
      </c>
      <c r="AZ29" s="51">
        <f t="shared" si="39"/>
        <v>0</v>
      </c>
      <c r="BA29" s="51">
        <f t="shared" si="40"/>
        <v>0</v>
      </c>
      <c r="BB29" s="51">
        <f t="shared" si="41"/>
        <v>0</v>
      </c>
      <c r="BC29" s="51">
        <f t="shared" si="0"/>
        <v>0</v>
      </c>
      <c r="BD29" s="51">
        <f t="shared" si="1"/>
        <v>0</v>
      </c>
      <c r="BE29" s="51">
        <f t="shared" si="2"/>
        <v>0</v>
      </c>
      <c r="BF29" s="51">
        <f t="shared" si="3"/>
        <v>0</v>
      </c>
      <c r="BG29" s="51">
        <f t="shared" si="4"/>
        <v>0</v>
      </c>
      <c r="BH29" s="51">
        <f t="shared" si="5"/>
        <v>0</v>
      </c>
      <c r="BI29" s="51">
        <f t="shared" si="6"/>
        <v>0</v>
      </c>
      <c r="BJ29" s="51">
        <f t="shared" si="7"/>
        <v>0</v>
      </c>
      <c r="BK29" s="51">
        <f t="shared" si="8"/>
        <v>0</v>
      </c>
      <c r="BL29" s="51">
        <f t="shared" si="9"/>
        <v>0</v>
      </c>
      <c r="BM29" s="51">
        <f t="shared" si="10"/>
        <v>0</v>
      </c>
      <c r="BN29" s="51">
        <f t="shared" si="11"/>
        <v>0</v>
      </c>
      <c r="BO29" s="51">
        <f t="shared" si="12"/>
        <v>0</v>
      </c>
      <c r="BP29" s="51">
        <f t="shared" si="13"/>
        <v>0</v>
      </c>
      <c r="BQ29" s="51">
        <f t="shared" si="14"/>
        <v>0</v>
      </c>
    </row>
    <row r="30" spans="2:69" ht="14.25" hidden="1" customHeight="1" thickBot="1" x14ac:dyDescent="0.3">
      <c r="B30" s="91" t="s">
        <v>102</v>
      </c>
      <c r="C30" s="116"/>
      <c r="D30" s="112"/>
      <c r="E30" s="111"/>
      <c r="F30" s="112"/>
      <c r="G30" s="111"/>
      <c r="H30" s="112"/>
      <c r="I30" s="111"/>
      <c r="J30" s="112"/>
      <c r="K30" s="111"/>
      <c r="L30" s="112"/>
      <c r="M30" s="111"/>
      <c r="N30" s="112"/>
      <c r="O30" s="111"/>
      <c r="P30" s="191"/>
      <c r="Z30" s="66"/>
      <c r="AA30" s="95" t="s">
        <v>102</v>
      </c>
      <c r="AB30" s="51">
        <f t="shared" si="42"/>
        <v>0</v>
      </c>
      <c r="AC30" s="51">
        <f t="shared" si="43"/>
        <v>0</v>
      </c>
      <c r="AD30" s="51">
        <f t="shared" si="44"/>
        <v>0</v>
      </c>
      <c r="AE30" s="51">
        <f t="shared" si="45"/>
        <v>0</v>
      </c>
      <c r="AF30" s="51">
        <f t="shared" si="46"/>
        <v>0</v>
      </c>
      <c r="AG30" s="51">
        <f t="shared" si="47"/>
        <v>0</v>
      </c>
      <c r="AH30" s="51">
        <f t="shared" si="21"/>
        <v>0</v>
      </c>
      <c r="AI30" s="51">
        <f t="shared" si="22"/>
        <v>0</v>
      </c>
      <c r="AJ30" s="51">
        <f t="shared" si="23"/>
        <v>0</v>
      </c>
      <c r="AK30" s="51">
        <f t="shared" si="24"/>
        <v>0</v>
      </c>
      <c r="AL30" s="51">
        <f t="shared" si="25"/>
        <v>0</v>
      </c>
      <c r="AM30" s="51">
        <f t="shared" si="26"/>
        <v>0</v>
      </c>
      <c r="AN30" s="51">
        <f t="shared" si="27"/>
        <v>0</v>
      </c>
      <c r="AO30" s="51">
        <f t="shared" si="28"/>
        <v>0</v>
      </c>
      <c r="AP30" s="51">
        <f t="shared" si="29"/>
        <v>0</v>
      </c>
      <c r="AQ30" s="51">
        <f t="shared" si="30"/>
        <v>0</v>
      </c>
      <c r="AR30" s="51">
        <f t="shared" si="31"/>
        <v>0</v>
      </c>
      <c r="AS30" s="51">
        <f t="shared" si="32"/>
        <v>0</v>
      </c>
      <c r="AT30" s="51">
        <f t="shared" si="33"/>
        <v>0</v>
      </c>
      <c r="AU30" s="51">
        <f t="shared" si="34"/>
        <v>0</v>
      </c>
      <c r="AV30" s="51">
        <f t="shared" si="35"/>
        <v>0</v>
      </c>
      <c r="AW30" s="51">
        <f t="shared" si="36"/>
        <v>0</v>
      </c>
      <c r="AX30" s="51">
        <f t="shared" si="37"/>
        <v>0</v>
      </c>
      <c r="AY30" s="51">
        <f t="shared" si="38"/>
        <v>0</v>
      </c>
      <c r="AZ30" s="51">
        <f t="shared" si="39"/>
        <v>0</v>
      </c>
      <c r="BA30" s="51">
        <f t="shared" si="40"/>
        <v>0</v>
      </c>
      <c r="BB30" s="51">
        <f t="shared" si="41"/>
        <v>0</v>
      </c>
      <c r="BC30" s="51">
        <f t="shared" si="0"/>
        <v>0</v>
      </c>
      <c r="BD30" s="51">
        <f t="shared" si="1"/>
        <v>0</v>
      </c>
      <c r="BE30" s="51">
        <f t="shared" si="2"/>
        <v>0</v>
      </c>
      <c r="BF30" s="51">
        <f t="shared" si="3"/>
        <v>0</v>
      </c>
      <c r="BG30" s="51">
        <f t="shared" si="4"/>
        <v>0</v>
      </c>
      <c r="BH30" s="51">
        <f t="shared" si="5"/>
        <v>0</v>
      </c>
      <c r="BI30" s="51">
        <f t="shared" si="6"/>
        <v>0</v>
      </c>
      <c r="BJ30" s="51">
        <f t="shared" si="7"/>
        <v>0</v>
      </c>
      <c r="BK30" s="51">
        <f t="shared" si="8"/>
        <v>0</v>
      </c>
      <c r="BL30" s="51">
        <f t="shared" si="9"/>
        <v>0</v>
      </c>
      <c r="BM30" s="51">
        <f t="shared" si="10"/>
        <v>0</v>
      </c>
      <c r="BN30" s="51">
        <f t="shared" si="11"/>
        <v>0</v>
      </c>
      <c r="BO30" s="51">
        <f t="shared" si="12"/>
        <v>0</v>
      </c>
      <c r="BP30" s="51">
        <f t="shared" si="13"/>
        <v>0</v>
      </c>
      <c r="BQ30" s="51">
        <f t="shared" si="14"/>
        <v>0</v>
      </c>
    </row>
    <row r="31" spans="2:69" ht="14.25" hidden="1" customHeight="1" thickBot="1" x14ac:dyDescent="0.3">
      <c r="B31" s="91" t="s">
        <v>103</v>
      </c>
      <c r="C31" s="116"/>
      <c r="D31" s="112"/>
      <c r="E31" s="111"/>
      <c r="F31" s="112"/>
      <c r="G31" s="111"/>
      <c r="H31" s="112"/>
      <c r="I31" s="111"/>
      <c r="J31" s="112"/>
      <c r="K31" s="111"/>
      <c r="L31" s="112"/>
      <c r="M31" s="111"/>
      <c r="N31" s="112"/>
      <c r="O31" s="111"/>
      <c r="P31" s="191"/>
      <c r="Z31" s="66"/>
      <c r="AA31" s="95" t="s">
        <v>103</v>
      </c>
      <c r="AB31" s="51">
        <f t="shared" si="42"/>
        <v>0</v>
      </c>
      <c r="AC31" s="51">
        <f t="shared" si="43"/>
        <v>0</v>
      </c>
      <c r="AD31" s="51">
        <f t="shared" si="44"/>
        <v>0</v>
      </c>
      <c r="AE31" s="51">
        <f t="shared" si="45"/>
        <v>0</v>
      </c>
      <c r="AF31" s="51">
        <f t="shared" si="46"/>
        <v>0</v>
      </c>
      <c r="AG31" s="51">
        <f t="shared" si="47"/>
        <v>0</v>
      </c>
      <c r="AH31" s="51">
        <f t="shared" si="21"/>
        <v>0</v>
      </c>
      <c r="AI31" s="51">
        <f t="shared" si="22"/>
        <v>0</v>
      </c>
      <c r="AJ31" s="51">
        <f t="shared" si="23"/>
        <v>0</v>
      </c>
      <c r="AK31" s="51">
        <f t="shared" si="24"/>
        <v>0</v>
      </c>
      <c r="AL31" s="51">
        <f t="shared" si="25"/>
        <v>0</v>
      </c>
      <c r="AM31" s="51">
        <f t="shared" si="26"/>
        <v>0</v>
      </c>
      <c r="AN31" s="51">
        <f t="shared" si="27"/>
        <v>0</v>
      </c>
      <c r="AO31" s="51">
        <f t="shared" si="28"/>
        <v>0</v>
      </c>
      <c r="AP31" s="51">
        <f t="shared" si="29"/>
        <v>0</v>
      </c>
      <c r="AQ31" s="51">
        <f t="shared" si="30"/>
        <v>0</v>
      </c>
      <c r="AR31" s="51">
        <f t="shared" si="31"/>
        <v>0</v>
      </c>
      <c r="AS31" s="51">
        <f t="shared" si="32"/>
        <v>0</v>
      </c>
      <c r="AT31" s="51">
        <f t="shared" si="33"/>
        <v>0</v>
      </c>
      <c r="AU31" s="51">
        <f t="shared" si="34"/>
        <v>0</v>
      </c>
      <c r="AV31" s="51">
        <f t="shared" si="35"/>
        <v>0</v>
      </c>
      <c r="AW31" s="51">
        <f t="shared" si="36"/>
        <v>0</v>
      </c>
      <c r="AX31" s="51">
        <f t="shared" si="37"/>
        <v>0</v>
      </c>
      <c r="AY31" s="51">
        <f t="shared" si="38"/>
        <v>0</v>
      </c>
      <c r="AZ31" s="51">
        <f t="shared" si="39"/>
        <v>0</v>
      </c>
      <c r="BA31" s="51">
        <f t="shared" si="40"/>
        <v>0</v>
      </c>
      <c r="BB31" s="51">
        <f t="shared" si="41"/>
        <v>0</v>
      </c>
      <c r="BC31" s="51">
        <f t="shared" si="0"/>
        <v>0</v>
      </c>
      <c r="BD31" s="51">
        <f t="shared" si="1"/>
        <v>0</v>
      </c>
      <c r="BE31" s="51">
        <f t="shared" si="2"/>
        <v>0</v>
      </c>
      <c r="BF31" s="51">
        <f t="shared" si="3"/>
        <v>0</v>
      </c>
      <c r="BG31" s="51">
        <f t="shared" si="4"/>
        <v>0</v>
      </c>
      <c r="BH31" s="51">
        <f t="shared" si="5"/>
        <v>0</v>
      </c>
      <c r="BI31" s="51">
        <f t="shared" si="6"/>
        <v>0</v>
      </c>
      <c r="BJ31" s="51">
        <f t="shared" si="7"/>
        <v>0</v>
      </c>
      <c r="BK31" s="51">
        <f t="shared" si="8"/>
        <v>0</v>
      </c>
      <c r="BL31" s="51">
        <f t="shared" si="9"/>
        <v>0</v>
      </c>
      <c r="BM31" s="51">
        <f t="shared" si="10"/>
        <v>0</v>
      </c>
      <c r="BN31" s="51">
        <f t="shared" si="11"/>
        <v>0</v>
      </c>
      <c r="BO31" s="51">
        <f t="shared" si="12"/>
        <v>0</v>
      </c>
      <c r="BP31" s="51">
        <f t="shared" si="13"/>
        <v>0</v>
      </c>
      <c r="BQ31" s="51">
        <f t="shared" si="14"/>
        <v>0</v>
      </c>
    </row>
    <row r="32" spans="2:69" ht="14.25" hidden="1" customHeight="1" thickBot="1" x14ac:dyDescent="0.3">
      <c r="B32" s="91" t="s">
        <v>104</v>
      </c>
      <c r="C32" s="116"/>
      <c r="D32" s="112"/>
      <c r="E32" s="111"/>
      <c r="F32" s="112"/>
      <c r="G32" s="111"/>
      <c r="H32" s="112"/>
      <c r="I32" s="111"/>
      <c r="J32" s="112"/>
      <c r="K32" s="111"/>
      <c r="L32" s="112"/>
      <c r="M32" s="111"/>
      <c r="N32" s="112"/>
      <c r="O32" s="111"/>
      <c r="P32" s="191"/>
      <c r="Z32" s="66"/>
      <c r="AA32" s="95" t="s">
        <v>104</v>
      </c>
      <c r="AB32" s="51">
        <f t="shared" si="42"/>
        <v>0</v>
      </c>
      <c r="AC32" s="51">
        <f t="shared" si="43"/>
        <v>0</v>
      </c>
      <c r="AD32" s="51">
        <f t="shared" si="44"/>
        <v>0</v>
      </c>
      <c r="AE32" s="51">
        <f t="shared" si="45"/>
        <v>0</v>
      </c>
      <c r="AF32" s="51">
        <f t="shared" si="46"/>
        <v>0</v>
      </c>
      <c r="AG32" s="51">
        <f t="shared" si="47"/>
        <v>0</v>
      </c>
      <c r="AH32" s="51">
        <f t="shared" si="21"/>
        <v>0</v>
      </c>
      <c r="AI32" s="51">
        <f t="shared" si="22"/>
        <v>0</v>
      </c>
      <c r="AJ32" s="51">
        <f t="shared" si="23"/>
        <v>0</v>
      </c>
      <c r="AK32" s="51">
        <f t="shared" si="24"/>
        <v>0</v>
      </c>
      <c r="AL32" s="51">
        <f t="shared" si="25"/>
        <v>0</v>
      </c>
      <c r="AM32" s="51">
        <f t="shared" si="26"/>
        <v>0</v>
      </c>
      <c r="AN32" s="51">
        <f t="shared" si="27"/>
        <v>0</v>
      </c>
      <c r="AO32" s="51">
        <f t="shared" si="28"/>
        <v>0</v>
      </c>
      <c r="AP32" s="51">
        <f t="shared" si="29"/>
        <v>0</v>
      </c>
      <c r="AQ32" s="51">
        <f t="shared" si="30"/>
        <v>0</v>
      </c>
      <c r="AR32" s="51">
        <f t="shared" si="31"/>
        <v>0</v>
      </c>
      <c r="AS32" s="51">
        <f t="shared" si="32"/>
        <v>0</v>
      </c>
      <c r="AT32" s="51">
        <f t="shared" si="33"/>
        <v>0</v>
      </c>
      <c r="AU32" s="51">
        <f t="shared" si="34"/>
        <v>0</v>
      </c>
      <c r="AV32" s="51">
        <f t="shared" si="35"/>
        <v>0</v>
      </c>
      <c r="AW32" s="51">
        <f t="shared" si="36"/>
        <v>0</v>
      </c>
      <c r="AX32" s="51">
        <f t="shared" si="37"/>
        <v>0</v>
      </c>
      <c r="AY32" s="51">
        <f t="shared" si="38"/>
        <v>0</v>
      </c>
      <c r="AZ32" s="51">
        <f t="shared" si="39"/>
        <v>0</v>
      </c>
      <c r="BA32" s="51">
        <f t="shared" si="40"/>
        <v>0</v>
      </c>
      <c r="BB32" s="51">
        <f t="shared" si="41"/>
        <v>0</v>
      </c>
      <c r="BC32" s="51">
        <f t="shared" si="0"/>
        <v>0</v>
      </c>
      <c r="BD32" s="51">
        <f t="shared" si="1"/>
        <v>0</v>
      </c>
      <c r="BE32" s="51">
        <f t="shared" si="2"/>
        <v>0</v>
      </c>
      <c r="BF32" s="51">
        <f t="shared" si="3"/>
        <v>0</v>
      </c>
      <c r="BG32" s="51">
        <f t="shared" si="4"/>
        <v>0</v>
      </c>
      <c r="BH32" s="51">
        <f t="shared" si="5"/>
        <v>0</v>
      </c>
      <c r="BI32" s="51">
        <f t="shared" si="6"/>
        <v>0</v>
      </c>
      <c r="BJ32" s="51">
        <f t="shared" si="7"/>
        <v>0</v>
      </c>
      <c r="BK32" s="51">
        <f t="shared" si="8"/>
        <v>0</v>
      </c>
      <c r="BL32" s="51">
        <f t="shared" si="9"/>
        <v>0</v>
      </c>
      <c r="BM32" s="51">
        <f t="shared" si="10"/>
        <v>0</v>
      </c>
      <c r="BN32" s="51">
        <f t="shared" si="11"/>
        <v>0</v>
      </c>
      <c r="BO32" s="51">
        <f t="shared" si="12"/>
        <v>0</v>
      </c>
      <c r="BP32" s="51">
        <f t="shared" si="13"/>
        <v>0</v>
      </c>
      <c r="BQ32" s="51">
        <f t="shared" si="14"/>
        <v>0</v>
      </c>
    </row>
    <row r="33" spans="2:69" ht="14.25" hidden="1" customHeight="1" thickBot="1" x14ac:dyDescent="0.3">
      <c r="B33" s="91" t="s">
        <v>177</v>
      </c>
      <c r="C33" s="116"/>
      <c r="D33" s="112"/>
      <c r="E33" s="111"/>
      <c r="F33" s="112"/>
      <c r="G33" s="111"/>
      <c r="H33" s="112"/>
      <c r="I33" s="111"/>
      <c r="J33" s="112"/>
      <c r="K33" s="111"/>
      <c r="L33" s="112"/>
      <c r="M33" s="111"/>
      <c r="N33" s="112"/>
      <c r="O33" s="111"/>
      <c r="P33" s="191"/>
      <c r="Z33" s="78"/>
      <c r="AA33" s="95" t="s">
        <v>177</v>
      </c>
      <c r="AB33" s="51">
        <f t="shared" si="42"/>
        <v>0</v>
      </c>
      <c r="AC33" s="51">
        <f t="shared" si="43"/>
        <v>0</v>
      </c>
      <c r="AD33" s="51">
        <f t="shared" si="44"/>
        <v>0</v>
      </c>
      <c r="AE33" s="51">
        <f t="shared" si="45"/>
        <v>0</v>
      </c>
      <c r="AF33" s="51">
        <f t="shared" si="46"/>
        <v>0</v>
      </c>
      <c r="AG33" s="51">
        <f t="shared" si="47"/>
        <v>0</v>
      </c>
      <c r="AH33" s="51">
        <f t="shared" si="21"/>
        <v>0</v>
      </c>
      <c r="AI33" s="51">
        <f t="shared" si="22"/>
        <v>0</v>
      </c>
      <c r="AJ33" s="51">
        <f t="shared" si="23"/>
        <v>0</v>
      </c>
      <c r="AK33" s="51">
        <f t="shared" si="24"/>
        <v>0</v>
      </c>
      <c r="AL33" s="51">
        <f t="shared" si="25"/>
        <v>0</v>
      </c>
      <c r="AM33" s="51">
        <f t="shared" si="26"/>
        <v>0</v>
      </c>
      <c r="AN33" s="51">
        <f t="shared" si="27"/>
        <v>0</v>
      </c>
      <c r="AO33" s="51">
        <f t="shared" si="28"/>
        <v>0</v>
      </c>
      <c r="AP33" s="51">
        <f t="shared" si="29"/>
        <v>0</v>
      </c>
      <c r="AQ33" s="51">
        <f t="shared" si="30"/>
        <v>0</v>
      </c>
      <c r="AR33" s="51">
        <f t="shared" si="31"/>
        <v>0</v>
      </c>
      <c r="AS33" s="51">
        <f t="shared" si="32"/>
        <v>0</v>
      </c>
      <c r="AT33" s="51">
        <f t="shared" si="33"/>
        <v>0</v>
      </c>
      <c r="AU33" s="51">
        <f t="shared" si="34"/>
        <v>0</v>
      </c>
      <c r="AV33" s="51">
        <f t="shared" si="35"/>
        <v>0</v>
      </c>
      <c r="AW33" s="51">
        <f t="shared" si="36"/>
        <v>0</v>
      </c>
      <c r="AX33" s="51">
        <f t="shared" si="37"/>
        <v>0</v>
      </c>
      <c r="AY33" s="51">
        <f t="shared" si="38"/>
        <v>0</v>
      </c>
      <c r="AZ33" s="51">
        <f t="shared" si="39"/>
        <v>0</v>
      </c>
      <c r="BA33" s="51">
        <f t="shared" si="40"/>
        <v>0</v>
      </c>
      <c r="BB33" s="51">
        <f t="shared" si="41"/>
        <v>0</v>
      </c>
      <c r="BC33" s="51">
        <f t="shared" si="0"/>
        <v>0</v>
      </c>
      <c r="BD33" s="51">
        <f t="shared" si="1"/>
        <v>0</v>
      </c>
      <c r="BE33" s="51">
        <f t="shared" si="2"/>
        <v>0</v>
      </c>
      <c r="BF33" s="51">
        <f t="shared" si="3"/>
        <v>0</v>
      </c>
      <c r="BG33" s="51">
        <f t="shared" si="4"/>
        <v>0</v>
      </c>
      <c r="BH33" s="51">
        <f t="shared" si="5"/>
        <v>0</v>
      </c>
      <c r="BI33" s="51">
        <f t="shared" si="6"/>
        <v>0</v>
      </c>
      <c r="BJ33" s="51">
        <f t="shared" si="7"/>
        <v>0</v>
      </c>
      <c r="BK33" s="51">
        <f t="shared" si="8"/>
        <v>0</v>
      </c>
      <c r="BL33" s="51">
        <f t="shared" si="9"/>
        <v>0</v>
      </c>
      <c r="BM33" s="51">
        <f t="shared" si="10"/>
        <v>0</v>
      </c>
      <c r="BN33" s="51">
        <f t="shared" si="11"/>
        <v>0</v>
      </c>
      <c r="BO33" s="51">
        <f t="shared" si="12"/>
        <v>0</v>
      </c>
      <c r="BP33" s="51">
        <f t="shared" si="13"/>
        <v>0</v>
      </c>
      <c r="BQ33" s="51">
        <f t="shared" si="14"/>
        <v>0</v>
      </c>
    </row>
    <row r="34" spans="2:69" ht="14.25" hidden="1" customHeight="1" thickBot="1" x14ac:dyDescent="0.3">
      <c r="B34" s="91" t="s">
        <v>178</v>
      </c>
      <c r="C34" s="116"/>
      <c r="D34" s="112"/>
      <c r="E34" s="111"/>
      <c r="F34" s="112"/>
      <c r="G34" s="111"/>
      <c r="H34" s="112"/>
      <c r="I34" s="111"/>
      <c r="J34" s="112"/>
      <c r="K34" s="111"/>
      <c r="L34" s="112"/>
      <c r="M34" s="111"/>
      <c r="N34" s="112"/>
      <c r="O34" s="111"/>
      <c r="P34" s="191"/>
      <c r="Z34" s="78"/>
      <c r="AA34" s="95" t="s">
        <v>178</v>
      </c>
      <c r="AB34" s="51">
        <f t="shared" si="42"/>
        <v>0</v>
      </c>
      <c r="AC34" s="51">
        <f t="shared" si="43"/>
        <v>0</v>
      </c>
      <c r="AD34" s="51">
        <f t="shared" si="44"/>
        <v>0</v>
      </c>
      <c r="AE34" s="51">
        <f t="shared" si="45"/>
        <v>0</v>
      </c>
      <c r="AF34" s="51">
        <f t="shared" si="46"/>
        <v>0</v>
      </c>
      <c r="AG34" s="51">
        <f t="shared" si="47"/>
        <v>0</v>
      </c>
      <c r="AH34" s="51">
        <f t="shared" si="21"/>
        <v>0</v>
      </c>
      <c r="AI34" s="51">
        <f t="shared" si="22"/>
        <v>0</v>
      </c>
      <c r="AJ34" s="51">
        <f t="shared" si="23"/>
        <v>0</v>
      </c>
      <c r="AK34" s="51">
        <f t="shared" si="24"/>
        <v>0</v>
      </c>
      <c r="AL34" s="51">
        <f t="shared" si="25"/>
        <v>0</v>
      </c>
      <c r="AM34" s="51">
        <f t="shared" si="26"/>
        <v>0</v>
      </c>
      <c r="AN34" s="51">
        <f t="shared" si="27"/>
        <v>0</v>
      </c>
      <c r="AO34" s="51">
        <f t="shared" si="28"/>
        <v>0</v>
      </c>
      <c r="AP34" s="51">
        <f t="shared" si="29"/>
        <v>0</v>
      </c>
      <c r="AQ34" s="51">
        <f t="shared" si="30"/>
        <v>0</v>
      </c>
      <c r="AR34" s="51">
        <f t="shared" si="31"/>
        <v>0</v>
      </c>
      <c r="AS34" s="51">
        <f t="shared" si="32"/>
        <v>0</v>
      </c>
      <c r="AT34" s="51">
        <f t="shared" si="33"/>
        <v>0</v>
      </c>
      <c r="AU34" s="51">
        <f t="shared" si="34"/>
        <v>0</v>
      </c>
      <c r="AV34" s="51">
        <f t="shared" si="35"/>
        <v>0</v>
      </c>
      <c r="AW34" s="51">
        <f t="shared" si="36"/>
        <v>0</v>
      </c>
      <c r="AX34" s="51">
        <f t="shared" si="37"/>
        <v>0</v>
      </c>
      <c r="AY34" s="51">
        <f t="shared" si="38"/>
        <v>0</v>
      </c>
      <c r="AZ34" s="51">
        <f t="shared" si="39"/>
        <v>0</v>
      </c>
      <c r="BA34" s="51">
        <f t="shared" si="40"/>
        <v>0</v>
      </c>
      <c r="BB34" s="51">
        <f t="shared" si="41"/>
        <v>0</v>
      </c>
      <c r="BC34" s="51">
        <f t="shared" si="0"/>
        <v>0</v>
      </c>
      <c r="BD34" s="51">
        <f t="shared" si="1"/>
        <v>0</v>
      </c>
      <c r="BE34" s="51">
        <f t="shared" si="2"/>
        <v>0</v>
      </c>
      <c r="BF34" s="51">
        <f t="shared" si="3"/>
        <v>0</v>
      </c>
      <c r="BG34" s="51">
        <f t="shared" si="4"/>
        <v>0</v>
      </c>
      <c r="BH34" s="51">
        <f t="shared" si="5"/>
        <v>0</v>
      </c>
      <c r="BI34" s="51">
        <f t="shared" si="6"/>
        <v>0</v>
      </c>
      <c r="BJ34" s="51">
        <f t="shared" si="7"/>
        <v>0</v>
      </c>
      <c r="BK34" s="51">
        <f t="shared" si="8"/>
        <v>0</v>
      </c>
      <c r="BL34" s="51">
        <f t="shared" si="9"/>
        <v>0</v>
      </c>
      <c r="BM34" s="51">
        <f t="shared" si="10"/>
        <v>0</v>
      </c>
      <c r="BN34" s="51">
        <f t="shared" si="11"/>
        <v>0</v>
      </c>
      <c r="BO34" s="51">
        <f t="shared" si="12"/>
        <v>0</v>
      </c>
      <c r="BP34" s="51">
        <f t="shared" si="13"/>
        <v>0</v>
      </c>
      <c r="BQ34" s="51">
        <f t="shared" si="14"/>
        <v>0</v>
      </c>
    </row>
    <row r="35" spans="2:69" ht="14.25" hidden="1" customHeight="1" thickBot="1" x14ac:dyDescent="0.3">
      <c r="B35" s="91" t="s">
        <v>179</v>
      </c>
      <c r="C35" s="116"/>
      <c r="D35" s="112"/>
      <c r="E35" s="111"/>
      <c r="F35" s="112"/>
      <c r="G35" s="111"/>
      <c r="H35" s="112"/>
      <c r="I35" s="111"/>
      <c r="J35" s="112"/>
      <c r="K35" s="111"/>
      <c r="L35" s="112"/>
      <c r="M35" s="111"/>
      <c r="N35" s="112"/>
      <c r="O35" s="111"/>
      <c r="P35" s="191"/>
      <c r="Z35" s="78"/>
      <c r="AA35" s="95" t="s">
        <v>179</v>
      </c>
      <c r="AB35" s="51">
        <f t="shared" si="42"/>
        <v>0</v>
      </c>
      <c r="AC35" s="51">
        <f t="shared" si="43"/>
        <v>0</v>
      </c>
      <c r="AD35" s="51">
        <f t="shared" si="44"/>
        <v>0</v>
      </c>
      <c r="AE35" s="51">
        <f t="shared" si="45"/>
        <v>0</v>
      </c>
      <c r="AF35" s="51">
        <f t="shared" si="46"/>
        <v>0</v>
      </c>
      <c r="AG35" s="51">
        <f t="shared" si="47"/>
        <v>0</v>
      </c>
      <c r="AH35" s="51">
        <f t="shared" si="21"/>
        <v>0</v>
      </c>
      <c r="AI35" s="51">
        <f t="shared" si="22"/>
        <v>0</v>
      </c>
      <c r="AJ35" s="51">
        <f t="shared" si="23"/>
        <v>0</v>
      </c>
      <c r="AK35" s="51">
        <f t="shared" si="24"/>
        <v>0</v>
      </c>
      <c r="AL35" s="51">
        <f t="shared" si="25"/>
        <v>0</v>
      </c>
      <c r="AM35" s="51">
        <f t="shared" si="26"/>
        <v>0</v>
      </c>
      <c r="AN35" s="51">
        <f t="shared" si="27"/>
        <v>0</v>
      </c>
      <c r="AO35" s="51">
        <f t="shared" si="28"/>
        <v>0</v>
      </c>
      <c r="AP35" s="51">
        <f t="shared" si="29"/>
        <v>0</v>
      </c>
      <c r="AQ35" s="51">
        <f t="shared" si="30"/>
        <v>0</v>
      </c>
      <c r="AR35" s="51">
        <f t="shared" si="31"/>
        <v>0</v>
      </c>
      <c r="AS35" s="51">
        <f t="shared" si="32"/>
        <v>0</v>
      </c>
      <c r="AT35" s="51">
        <f t="shared" si="33"/>
        <v>0</v>
      </c>
      <c r="AU35" s="51">
        <f t="shared" si="34"/>
        <v>0</v>
      </c>
      <c r="AV35" s="51">
        <f t="shared" si="35"/>
        <v>0</v>
      </c>
      <c r="AW35" s="51">
        <f t="shared" si="36"/>
        <v>0</v>
      </c>
      <c r="AX35" s="51">
        <f t="shared" si="37"/>
        <v>0</v>
      </c>
      <c r="AY35" s="51">
        <f t="shared" si="38"/>
        <v>0</v>
      </c>
      <c r="AZ35" s="51">
        <f t="shared" si="39"/>
        <v>0</v>
      </c>
      <c r="BA35" s="51">
        <f t="shared" si="40"/>
        <v>0</v>
      </c>
      <c r="BB35" s="51">
        <f t="shared" si="41"/>
        <v>0</v>
      </c>
      <c r="BC35" s="51">
        <f t="shared" si="0"/>
        <v>0</v>
      </c>
      <c r="BD35" s="51">
        <f t="shared" si="1"/>
        <v>0</v>
      </c>
      <c r="BE35" s="51">
        <f t="shared" si="2"/>
        <v>0</v>
      </c>
      <c r="BF35" s="51">
        <f t="shared" si="3"/>
        <v>0</v>
      </c>
      <c r="BG35" s="51">
        <f t="shared" si="4"/>
        <v>0</v>
      </c>
      <c r="BH35" s="51">
        <f t="shared" si="5"/>
        <v>0</v>
      </c>
      <c r="BI35" s="51">
        <f t="shared" si="6"/>
        <v>0</v>
      </c>
      <c r="BJ35" s="51">
        <f t="shared" si="7"/>
        <v>0</v>
      </c>
      <c r="BK35" s="51">
        <f t="shared" si="8"/>
        <v>0</v>
      </c>
      <c r="BL35" s="51">
        <f t="shared" si="9"/>
        <v>0</v>
      </c>
      <c r="BM35" s="51">
        <f t="shared" si="10"/>
        <v>0</v>
      </c>
      <c r="BN35" s="51">
        <f t="shared" si="11"/>
        <v>0</v>
      </c>
      <c r="BO35" s="51">
        <f t="shared" si="12"/>
        <v>0</v>
      </c>
      <c r="BP35" s="51">
        <f t="shared" si="13"/>
        <v>0</v>
      </c>
      <c r="BQ35" s="51">
        <f t="shared" si="14"/>
        <v>0</v>
      </c>
    </row>
    <row r="36" spans="2:69" ht="14.25" hidden="1" customHeight="1" thickBot="1" x14ac:dyDescent="0.3">
      <c r="B36" s="91" t="s">
        <v>180</v>
      </c>
      <c r="C36" s="116"/>
      <c r="D36" s="112"/>
      <c r="E36" s="111"/>
      <c r="F36" s="112"/>
      <c r="G36" s="111"/>
      <c r="H36" s="112"/>
      <c r="I36" s="111"/>
      <c r="J36" s="112"/>
      <c r="K36" s="111"/>
      <c r="L36" s="112"/>
      <c r="M36" s="111"/>
      <c r="N36" s="112"/>
      <c r="O36" s="111"/>
      <c r="P36" s="191"/>
      <c r="Z36" s="78"/>
      <c r="AA36" s="95" t="s">
        <v>180</v>
      </c>
      <c r="AB36" s="51">
        <f t="shared" si="42"/>
        <v>0</v>
      </c>
      <c r="AC36" s="51">
        <f t="shared" si="43"/>
        <v>0</v>
      </c>
      <c r="AD36" s="51">
        <f t="shared" si="44"/>
        <v>0</v>
      </c>
      <c r="AE36" s="51">
        <f t="shared" si="45"/>
        <v>0</v>
      </c>
      <c r="AF36" s="51">
        <f t="shared" si="46"/>
        <v>0</v>
      </c>
      <c r="AG36" s="51">
        <f t="shared" si="47"/>
        <v>0</v>
      </c>
      <c r="AH36" s="51">
        <f t="shared" si="21"/>
        <v>0</v>
      </c>
      <c r="AI36" s="51">
        <f t="shared" si="22"/>
        <v>0</v>
      </c>
      <c r="AJ36" s="51">
        <f t="shared" si="23"/>
        <v>0</v>
      </c>
      <c r="AK36" s="51">
        <f t="shared" si="24"/>
        <v>0</v>
      </c>
      <c r="AL36" s="51">
        <f t="shared" si="25"/>
        <v>0</v>
      </c>
      <c r="AM36" s="51">
        <f t="shared" si="26"/>
        <v>0</v>
      </c>
      <c r="AN36" s="51">
        <f t="shared" si="27"/>
        <v>0</v>
      </c>
      <c r="AO36" s="51">
        <f t="shared" si="28"/>
        <v>0</v>
      </c>
      <c r="AP36" s="51">
        <f t="shared" si="29"/>
        <v>0</v>
      </c>
      <c r="AQ36" s="51">
        <f t="shared" si="30"/>
        <v>0</v>
      </c>
      <c r="AR36" s="51">
        <f t="shared" si="31"/>
        <v>0</v>
      </c>
      <c r="AS36" s="51">
        <f t="shared" si="32"/>
        <v>0</v>
      </c>
      <c r="AT36" s="51">
        <f t="shared" si="33"/>
        <v>0</v>
      </c>
      <c r="AU36" s="51">
        <f t="shared" si="34"/>
        <v>0</v>
      </c>
      <c r="AV36" s="51">
        <f t="shared" si="35"/>
        <v>0</v>
      </c>
      <c r="AW36" s="51">
        <f t="shared" si="36"/>
        <v>0</v>
      </c>
      <c r="AX36" s="51">
        <f t="shared" si="37"/>
        <v>0</v>
      </c>
      <c r="AY36" s="51">
        <f t="shared" si="38"/>
        <v>0</v>
      </c>
      <c r="AZ36" s="51">
        <f t="shared" si="39"/>
        <v>0</v>
      </c>
      <c r="BA36" s="51">
        <f t="shared" si="40"/>
        <v>0</v>
      </c>
      <c r="BB36" s="51">
        <f t="shared" si="41"/>
        <v>0</v>
      </c>
      <c r="BC36" s="51">
        <f t="shared" si="0"/>
        <v>0</v>
      </c>
      <c r="BD36" s="51">
        <f t="shared" si="1"/>
        <v>0</v>
      </c>
      <c r="BE36" s="51">
        <f t="shared" si="2"/>
        <v>0</v>
      </c>
      <c r="BF36" s="51">
        <f t="shared" si="3"/>
        <v>0</v>
      </c>
      <c r="BG36" s="51">
        <f t="shared" si="4"/>
        <v>0</v>
      </c>
      <c r="BH36" s="51">
        <f t="shared" si="5"/>
        <v>0</v>
      </c>
      <c r="BI36" s="51">
        <f t="shared" si="6"/>
        <v>0</v>
      </c>
      <c r="BJ36" s="51">
        <f t="shared" si="7"/>
        <v>0</v>
      </c>
      <c r="BK36" s="51">
        <f t="shared" si="8"/>
        <v>0</v>
      </c>
      <c r="BL36" s="51">
        <f t="shared" si="9"/>
        <v>0</v>
      </c>
      <c r="BM36" s="51">
        <f t="shared" si="10"/>
        <v>0</v>
      </c>
      <c r="BN36" s="51">
        <f t="shared" si="11"/>
        <v>0</v>
      </c>
      <c r="BO36" s="51">
        <f t="shared" si="12"/>
        <v>0</v>
      </c>
      <c r="BP36" s="51">
        <f t="shared" si="13"/>
        <v>0</v>
      </c>
      <c r="BQ36" s="51">
        <f t="shared" si="14"/>
        <v>0</v>
      </c>
    </row>
    <row r="37" spans="2:69" ht="14.25" hidden="1" customHeight="1" thickBot="1" x14ac:dyDescent="0.3">
      <c r="B37" s="91" t="s">
        <v>181</v>
      </c>
      <c r="C37" s="116"/>
      <c r="D37" s="112"/>
      <c r="E37" s="111"/>
      <c r="F37" s="112"/>
      <c r="G37" s="111"/>
      <c r="H37" s="112"/>
      <c r="I37" s="111"/>
      <c r="J37" s="112"/>
      <c r="K37" s="111"/>
      <c r="L37" s="112"/>
      <c r="M37" s="111"/>
      <c r="N37" s="112"/>
      <c r="O37" s="111"/>
      <c r="P37" s="191"/>
      <c r="Z37" s="78"/>
      <c r="AA37" s="95" t="s">
        <v>181</v>
      </c>
      <c r="AB37" s="51">
        <f t="shared" si="42"/>
        <v>0</v>
      </c>
      <c r="AC37" s="51">
        <f t="shared" si="43"/>
        <v>0</v>
      </c>
      <c r="AD37" s="51">
        <f t="shared" si="44"/>
        <v>0</v>
      </c>
      <c r="AE37" s="51">
        <f t="shared" si="45"/>
        <v>0</v>
      </c>
      <c r="AF37" s="51">
        <f t="shared" si="46"/>
        <v>0</v>
      </c>
      <c r="AG37" s="51">
        <f t="shared" si="47"/>
        <v>0</v>
      </c>
      <c r="AH37" s="51">
        <f t="shared" si="21"/>
        <v>0</v>
      </c>
      <c r="AI37" s="51">
        <f t="shared" si="22"/>
        <v>0</v>
      </c>
      <c r="AJ37" s="51">
        <f t="shared" si="23"/>
        <v>0</v>
      </c>
      <c r="AK37" s="51">
        <f t="shared" si="24"/>
        <v>0</v>
      </c>
      <c r="AL37" s="51">
        <f t="shared" si="25"/>
        <v>0</v>
      </c>
      <c r="AM37" s="51">
        <f t="shared" si="26"/>
        <v>0</v>
      </c>
      <c r="AN37" s="51">
        <f t="shared" si="27"/>
        <v>0</v>
      </c>
      <c r="AO37" s="51">
        <f t="shared" si="28"/>
        <v>0</v>
      </c>
      <c r="AP37" s="51">
        <f t="shared" si="29"/>
        <v>0</v>
      </c>
      <c r="AQ37" s="51">
        <f t="shared" si="30"/>
        <v>0</v>
      </c>
      <c r="AR37" s="51">
        <f t="shared" si="31"/>
        <v>0</v>
      </c>
      <c r="AS37" s="51">
        <f t="shared" si="32"/>
        <v>0</v>
      </c>
      <c r="AT37" s="51">
        <f t="shared" si="33"/>
        <v>0</v>
      </c>
      <c r="AU37" s="51">
        <f t="shared" si="34"/>
        <v>0</v>
      </c>
      <c r="AV37" s="51">
        <f t="shared" si="35"/>
        <v>0</v>
      </c>
      <c r="AW37" s="51">
        <f t="shared" si="36"/>
        <v>0</v>
      </c>
      <c r="AX37" s="51">
        <f t="shared" si="37"/>
        <v>0</v>
      </c>
      <c r="AY37" s="51">
        <f t="shared" si="38"/>
        <v>0</v>
      </c>
      <c r="AZ37" s="51">
        <f t="shared" si="39"/>
        <v>0</v>
      </c>
      <c r="BA37" s="51">
        <f t="shared" si="40"/>
        <v>0</v>
      </c>
      <c r="BB37" s="51">
        <f t="shared" si="41"/>
        <v>0</v>
      </c>
      <c r="BC37" s="51">
        <f t="shared" si="0"/>
        <v>0</v>
      </c>
      <c r="BD37" s="51">
        <f t="shared" si="1"/>
        <v>0</v>
      </c>
      <c r="BE37" s="51">
        <f t="shared" si="2"/>
        <v>0</v>
      </c>
      <c r="BF37" s="51">
        <f t="shared" si="3"/>
        <v>0</v>
      </c>
      <c r="BG37" s="51">
        <f t="shared" si="4"/>
        <v>0</v>
      </c>
      <c r="BH37" s="51">
        <f t="shared" si="5"/>
        <v>0</v>
      </c>
      <c r="BI37" s="51">
        <f t="shared" si="6"/>
        <v>0</v>
      </c>
      <c r="BJ37" s="51">
        <f t="shared" si="7"/>
        <v>0</v>
      </c>
      <c r="BK37" s="51">
        <f t="shared" si="8"/>
        <v>0</v>
      </c>
      <c r="BL37" s="51">
        <f t="shared" si="9"/>
        <v>0</v>
      </c>
      <c r="BM37" s="51">
        <f t="shared" si="10"/>
        <v>0</v>
      </c>
      <c r="BN37" s="51">
        <f t="shared" si="11"/>
        <v>0</v>
      </c>
      <c r="BO37" s="51">
        <f t="shared" si="12"/>
        <v>0</v>
      </c>
      <c r="BP37" s="51">
        <f t="shared" si="13"/>
        <v>0</v>
      </c>
      <c r="BQ37" s="51">
        <f t="shared" si="14"/>
        <v>0</v>
      </c>
    </row>
    <row r="38" spans="2:69" ht="14.25" hidden="1" customHeight="1" thickBot="1" x14ac:dyDescent="0.3">
      <c r="B38" s="91" t="s">
        <v>182</v>
      </c>
      <c r="C38" s="116"/>
      <c r="D38" s="112"/>
      <c r="E38" s="111"/>
      <c r="F38" s="112"/>
      <c r="G38" s="111"/>
      <c r="H38" s="112"/>
      <c r="I38" s="111"/>
      <c r="J38" s="112"/>
      <c r="K38" s="111"/>
      <c r="L38" s="112"/>
      <c r="M38" s="111"/>
      <c r="N38" s="112"/>
      <c r="O38" s="111"/>
      <c r="P38" s="191"/>
      <c r="Z38" s="78"/>
      <c r="AA38" s="95" t="s">
        <v>182</v>
      </c>
      <c r="AB38" s="51">
        <f t="shared" si="42"/>
        <v>0</v>
      </c>
      <c r="AC38" s="51">
        <f t="shared" si="43"/>
        <v>0</v>
      </c>
      <c r="AD38" s="51">
        <f t="shared" si="44"/>
        <v>0</v>
      </c>
      <c r="AE38" s="51">
        <f t="shared" si="45"/>
        <v>0</v>
      </c>
      <c r="AF38" s="51">
        <f t="shared" si="46"/>
        <v>0</v>
      </c>
      <c r="AG38" s="51">
        <f t="shared" si="47"/>
        <v>0</v>
      </c>
      <c r="AH38" s="51">
        <f t="shared" si="21"/>
        <v>0</v>
      </c>
      <c r="AI38" s="51">
        <f t="shared" si="22"/>
        <v>0</v>
      </c>
      <c r="AJ38" s="51">
        <f t="shared" si="23"/>
        <v>0</v>
      </c>
      <c r="AK38" s="51">
        <f t="shared" si="24"/>
        <v>0</v>
      </c>
      <c r="AL38" s="51">
        <f t="shared" si="25"/>
        <v>0</v>
      </c>
      <c r="AM38" s="51">
        <f t="shared" si="26"/>
        <v>0</v>
      </c>
      <c r="AN38" s="51">
        <f t="shared" si="27"/>
        <v>0</v>
      </c>
      <c r="AO38" s="51">
        <f t="shared" si="28"/>
        <v>0</v>
      </c>
      <c r="AP38" s="51">
        <f t="shared" si="29"/>
        <v>0</v>
      </c>
      <c r="AQ38" s="51">
        <f t="shared" si="30"/>
        <v>0</v>
      </c>
      <c r="AR38" s="51">
        <f t="shared" si="31"/>
        <v>0</v>
      </c>
      <c r="AS38" s="51">
        <f t="shared" si="32"/>
        <v>0</v>
      </c>
      <c r="AT38" s="51">
        <f t="shared" si="33"/>
        <v>0</v>
      </c>
      <c r="AU38" s="51">
        <f t="shared" si="34"/>
        <v>0</v>
      </c>
      <c r="AV38" s="51">
        <f t="shared" si="35"/>
        <v>0</v>
      </c>
      <c r="AW38" s="51">
        <f t="shared" si="36"/>
        <v>0</v>
      </c>
      <c r="AX38" s="51">
        <f t="shared" si="37"/>
        <v>0</v>
      </c>
      <c r="AY38" s="51">
        <f t="shared" si="38"/>
        <v>0</v>
      </c>
      <c r="AZ38" s="51">
        <f t="shared" si="39"/>
        <v>0</v>
      </c>
      <c r="BA38" s="51">
        <f t="shared" si="40"/>
        <v>0</v>
      </c>
      <c r="BB38" s="51">
        <f t="shared" si="41"/>
        <v>0</v>
      </c>
      <c r="BC38" s="51">
        <f t="shared" si="0"/>
        <v>0</v>
      </c>
      <c r="BD38" s="51">
        <f t="shared" si="1"/>
        <v>0</v>
      </c>
      <c r="BE38" s="51">
        <f t="shared" si="2"/>
        <v>0</v>
      </c>
      <c r="BF38" s="51">
        <f t="shared" si="3"/>
        <v>0</v>
      </c>
      <c r="BG38" s="51">
        <f t="shared" si="4"/>
        <v>0</v>
      </c>
      <c r="BH38" s="51">
        <f t="shared" si="5"/>
        <v>0</v>
      </c>
      <c r="BI38" s="51">
        <f t="shared" si="6"/>
        <v>0</v>
      </c>
      <c r="BJ38" s="51">
        <f t="shared" si="7"/>
        <v>0</v>
      </c>
      <c r="BK38" s="51">
        <f t="shared" si="8"/>
        <v>0</v>
      </c>
      <c r="BL38" s="51">
        <f t="shared" si="9"/>
        <v>0</v>
      </c>
      <c r="BM38" s="51">
        <f t="shared" si="10"/>
        <v>0</v>
      </c>
      <c r="BN38" s="51">
        <f t="shared" si="11"/>
        <v>0</v>
      </c>
      <c r="BO38" s="51">
        <f t="shared" si="12"/>
        <v>0</v>
      </c>
      <c r="BP38" s="51">
        <f t="shared" si="13"/>
        <v>0</v>
      </c>
      <c r="BQ38" s="51">
        <f t="shared" si="14"/>
        <v>0</v>
      </c>
    </row>
    <row r="39" spans="2:69" ht="14.25" hidden="1" customHeight="1" thickBot="1" x14ac:dyDescent="0.3">
      <c r="B39" s="91" t="s">
        <v>183</v>
      </c>
      <c r="C39" s="116"/>
      <c r="D39" s="112"/>
      <c r="E39" s="111"/>
      <c r="F39" s="112"/>
      <c r="G39" s="111"/>
      <c r="H39" s="112"/>
      <c r="I39" s="111"/>
      <c r="J39" s="112"/>
      <c r="K39" s="111"/>
      <c r="L39" s="112"/>
      <c r="M39" s="111"/>
      <c r="N39" s="112"/>
      <c r="O39" s="111"/>
      <c r="P39" s="191"/>
      <c r="Z39" s="78"/>
      <c r="AA39" s="95" t="s">
        <v>183</v>
      </c>
      <c r="AB39" s="51">
        <f t="shared" si="42"/>
        <v>0</v>
      </c>
      <c r="AC39" s="51">
        <f t="shared" si="43"/>
        <v>0</v>
      </c>
      <c r="AD39" s="51">
        <f t="shared" si="44"/>
        <v>0</v>
      </c>
      <c r="AE39" s="51">
        <f t="shared" si="45"/>
        <v>0</v>
      </c>
      <c r="AF39" s="51">
        <f t="shared" si="46"/>
        <v>0</v>
      </c>
      <c r="AG39" s="51">
        <f t="shared" si="47"/>
        <v>0</v>
      </c>
      <c r="AH39" s="51">
        <f t="shared" si="21"/>
        <v>0</v>
      </c>
      <c r="AI39" s="51">
        <f t="shared" si="22"/>
        <v>0</v>
      </c>
      <c r="AJ39" s="51">
        <f t="shared" si="23"/>
        <v>0</v>
      </c>
      <c r="AK39" s="51">
        <f t="shared" si="24"/>
        <v>0</v>
      </c>
      <c r="AL39" s="51">
        <f t="shared" si="25"/>
        <v>0</v>
      </c>
      <c r="AM39" s="51">
        <f t="shared" si="26"/>
        <v>0</v>
      </c>
      <c r="AN39" s="51">
        <f t="shared" si="27"/>
        <v>0</v>
      </c>
      <c r="AO39" s="51">
        <f t="shared" si="28"/>
        <v>0</v>
      </c>
      <c r="AP39" s="51">
        <f t="shared" si="29"/>
        <v>0</v>
      </c>
      <c r="AQ39" s="51">
        <f t="shared" si="30"/>
        <v>0</v>
      </c>
      <c r="AR39" s="51">
        <f t="shared" si="31"/>
        <v>0</v>
      </c>
      <c r="AS39" s="51">
        <f t="shared" si="32"/>
        <v>0</v>
      </c>
      <c r="AT39" s="51">
        <f t="shared" si="33"/>
        <v>0</v>
      </c>
      <c r="AU39" s="51">
        <f t="shared" si="34"/>
        <v>0</v>
      </c>
      <c r="AV39" s="51">
        <f t="shared" si="35"/>
        <v>0</v>
      </c>
      <c r="AW39" s="51">
        <f t="shared" si="36"/>
        <v>0</v>
      </c>
      <c r="AX39" s="51">
        <f t="shared" si="37"/>
        <v>0</v>
      </c>
      <c r="AY39" s="51">
        <f t="shared" si="38"/>
        <v>0</v>
      </c>
      <c r="AZ39" s="51">
        <f t="shared" si="39"/>
        <v>0</v>
      </c>
      <c r="BA39" s="51">
        <f t="shared" si="40"/>
        <v>0</v>
      </c>
      <c r="BB39" s="51">
        <f t="shared" si="41"/>
        <v>0</v>
      </c>
      <c r="BC39" s="51">
        <f t="shared" si="0"/>
        <v>0</v>
      </c>
      <c r="BD39" s="51">
        <f t="shared" si="1"/>
        <v>0</v>
      </c>
      <c r="BE39" s="51">
        <f t="shared" si="2"/>
        <v>0</v>
      </c>
      <c r="BF39" s="51">
        <f t="shared" si="3"/>
        <v>0</v>
      </c>
      <c r="BG39" s="51">
        <f t="shared" si="4"/>
        <v>0</v>
      </c>
      <c r="BH39" s="51">
        <f t="shared" si="5"/>
        <v>0</v>
      </c>
      <c r="BI39" s="51">
        <f t="shared" si="6"/>
        <v>0</v>
      </c>
      <c r="BJ39" s="51">
        <f t="shared" si="7"/>
        <v>0</v>
      </c>
      <c r="BK39" s="51">
        <f t="shared" si="8"/>
        <v>0</v>
      </c>
      <c r="BL39" s="51">
        <f t="shared" si="9"/>
        <v>0</v>
      </c>
      <c r="BM39" s="51">
        <f t="shared" si="10"/>
        <v>0</v>
      </c>
      <c r="BN39" s="51">
        <f t="shared" si="11"/>
        <v>0</v>
      </c>
      <c r="BO39" s="51">
        <f t="shared" si="12"/>
        <v>0</v>
      </c>
      <c r="BP39" s="51">
        <f t="shared" si="13"/>
        <v>0</v>
      </c>
      <c r="BQ39" s="51">
        <f t="shared" si="14"/>
        <v>0</v>
      </c>
    </row>
    <row r="40" spans="2:69" ht="14.25" hidden="1" customHeight="1" thickBot="1" x14ac:dyDescent="0.3">
      <c r="B40" s="91" t="s">
        <v>184</v>
      </c>
      <c r="C40" s="116"/>
      <c r="D40" s="112"/>
      <c r="E40" s="111"/>
      <c r="F40" s="112"/>
      <c r="G40" s="111"/>
      <c r="H40" s="112"/>
      <c r="I40" s="111"/>
      <c r="J40" s="112"/>
      <c r="K40" s="111"/>
      <c r="L40" s="112"/>
      <c r="M40" s="111"/>
      <c r="N40" s="112"/>
      <c r="O40" s="111"/>
      <c r="P40" s="191"/>
      <c r="Z40" s="78"/>
      <c r="AA40" s="95" t="s">
        <v>184</v>
      </c>
      <c r="AB40" s="51">
        <f t="shared" si="42"/>
        <v>0</v>
      </c>
      <c r="AC40" s="51">
        <f t="shared" si="43"/>
        <v>0</v>
      </c>
      <c r="AD40" s="51">
        <f t="shared" si="44"/>
        <v>0</v>
      </c>
      <c r="AE40" s="51">
        <f t="shared" si="45"/>
        <v>0</v>
      </c>
      <c r="AF40" s="51">
        <f t="shared" si="46"/>
        <v>0</v>
      </c>
      <c r="AG40" s="51">
        <f t="shared" si="47"/>
        <v>0</v>
      </c>
      <c r="AH40" s="51">
        <f t="shared" si="21"/>
        <v>0</v>
      </c>
      <c r="AI40" s="51">
        <f t="shared" si="22"/>
        <v>0</v>
      </c>
      <c r="AJ40" s="51">
        <f t="shared" si="23"/>
        <v>0</v>
      </c>
      <c r="AK40" s="51">
        <f t="shared" si="24"/>
        <v>0</v>
      </c>
      <c r="AL40" s="51">
        <f t="shared" si="25"/>
        <v>0</v>
      </c>
      <c r="AM40" s="51">
        <f t="shared" si="26"/>
        <v>0</v>
      </c>
      <c r="AN40" s="51">
        <f t="shared" si="27"/>
        <v>0</v>
      </c>
      <c r="AO40" s="51">
        <f t="shared" si="28"/>
        <v>0</v>
      </c>
      <c r="AP40" s="51">
        <f t="shared" si="29"/>
        <v>0</v>
      </c>
      <c r="AQ40" s="51">
        <f t="shared" si="30"/>
        <v>0</v>
      </c>
      <c r="AR40" s="51">
        <f t="shared" si="31"/>
        <v>0</v>
      </c>
      <c r="AS40" s="51">
        <f t="shared" si="32"/>
        <v>0</v>
      </c>
      <c r="AT40" s="51">
        <f t="shared" si="33"/>
        <v>0</v>
      </c>
      <c r="AU40" s="51">
        <f t="shared" si="34"/>
        <v>0</v>
      </c>
      <c r="AV40" s="51">
        <f t="shared" si="35"/>
        <v>0</v>
      </c>
      <c r="AW40" s="51">
        <f t="shared" si="36"/>
        <v>0</v>
      </c>
      <c r="AX40" s="51">
        <f t="shared" si="37"/>
        <v>0</v>
      </c>
      <c r="AY40" s="51">
        <f t="shared" si="38"/>
        <v>0</v>
      </c>
      <c r="AZ40" s="51">
        <f t="shared" si="39"/>
        <v>0</v>
      </c>
      <c r="BA40" s="51">
        <f t="shared" si="40"/>
        <v>0</v>
      </c>
      <c r="BB40" s="51">
        <f t="shared" si="41"/>
        <v>0</v>
      </c>
      <c r="BC40" s="51">
        <f t="shared" si="0"/>
        <v>0</v>
      </c>
      <c r="BD40" s="51">
        <f t="shared" si="1"/>
        <v>0</v>
      </c>
      <c r="BE40" s="51">
        <f t="shared" si="2"/>
        <v>0</v>
      </c>
      <c r="BF40" s="51">
        <f t="shared" si="3"/>
        <v>0</v>
      </c>
      <c r="BG40" s="51">
        <f t="shared" si="4"/>
        <v>0</v>
      </c>
      <c r="BH40" s="51">
        <f t="shared" si="5"/>
        <v>0</v>
      </c>
      <c r="BI40" s="51">
        <f t="shared" si="6"/>
        <v>0</v>
      </c>
      <c r="BJ40" s="51">
        <f t="shared" si="7"/>
        <v>0</v>
      </c>
      <c r="BK40" s="51">
        <f t="shared" si="8"/>
        <v>0</v>
      </c>
      <c r="BL40" s="51">
        <f t="shared" si="9"/>
        <v>0</v>
      </c>
      <c r="BM40" s="51">
        <f t="shared" si="10"/>
        <v>0</v>
      </c>
      <c r="BN40" s="51">
        <f t="shared" si="11"/>
        <v>0</v>
      </c>
      <c r="BO40" s="51">
        <f t="shared" si="12"/>
        <v>0</v>
      </c>
      <c r="BP40" s="51">
        <f t="shared" si="13"/>
        <v>0</v>
      </c>
      <c r="BQ40" s="51">
        <f t="shared" si="14"/>
        <v>0</v>
      </c>
    </row>
    <row r="41" spans="2:69" ht="14.25" hidden="1" customHeight="1" thickBot="1" x14ac:dyDescent="0.3">
      <c r="B41" s="91" t="s">
        <v>185</v>
      </c>
      <c r="C41" s="116"/>
      <c r="D41" s="112"/>
      <c r="E41" s="111"/>
      <c r="F41" s="112"/>
      <c r="G41" s="111"/>
      <c r="H41" s="112"/>
      <c r="I41" s="111"/>
      <c r="J41" s="112"/>
      <c r="K41" s="111"/>
      <c r="L41" s="112"/>
      <c r="M41" s="111"/>
      <c r="N41" s="112"/>
      <c r="O41" s="111"/>
      <c r="P41" s="191"/>
      <c r="Z41" s="78"/>
      <c r="AA41" s="95" t="s">
        <v>185</v>
      </c>
      <c r="AB41" s="51">
        <f t="shared" si="42"/>
        <v>0</v>
      </c>
      <c r="AC41" s="51">
        <f t="shared" si="43"/>
        <v>0</v>
      </c>
      <c r="AD41" s="51">
        <f t="shared" si="44"/>
        <v>0</v>
      </c>
      <c r="AE41" s="51">
        <f t="shared" si="45"/>
        <v>0</v>
      </c>
      <c r="AF41" s="51">
        <f t="shared" si="46"/>
        <v>0</v>
      </c>
      <c r="AG41" s="51">
        <f t="shared" si="47"/>
        <v>0</v>
      </c>
      <c r="AH41" s="51">
        <f t="shared" si="21"/>
        <v>0</v>
      </c>
      <c r="AI41" s="51">
        <f t="shared" si="22"/>
        <v>0</v>
      </c>
      <c r="AJ41" s="51">
        <f t="shared" si="23"/>
        <v>0</v>
      </c>
      <c r="AK41" s="51">
        <f t="shared" si="24"/>
        <v>0</v>
      </c>
      <c r="AL41" s="51">
        <f t="shared" si="25"/>
        <v>0</v>
      </c>
      <c r="AM41" s="51">
        <f t="shared" si="26"/>
        <v>0</v>
      </c>
      <c r="AN41" s="51">
        <f t="shared" si="27"/>
        <v>0</v>
      </c>
      <c r="AO41" s="51">
        <f t="shared" si="28"/>
        <v>0</v>
      </c>
      <c r="AP41" s="51">
        <f t="shared" si="29"/>
        <v>0</v>
      </c>
      <c r="AQ41" s="51">
        <f t="shared" si="30"/>
        <v>0</v>
      </c>
      <c r="AR41" s="51">
        <f t="shared" si="31"/>
        <v>0</v>
      </c>
      <c r="AS41" s="51">
        <f t="shared" si="32"/>
        <v>0</v>
      </c>
      <c r="AT41" s="51">
        <f t="shared" si="33"/>
        <v>0</v>
      </c>
      <c r="AU41" s="51">
        <f t="shared" si="34"/>
        <v>0</v>
      </c>
      <c r="AV41" s="51">
        <f t="shared" si="35"/>
        <v>0</v>
      </c>
      <c r="AW41" s="51">
        <f t="shared" si="36"/>
        <v>0</v>
      </c>
      <c r="AX41" s="51">
        <f t="shared" si="37"/>
        <v>0</v>
      </c>
      <c r="AY41" s="51">
        <f t="shared" si="38"/>
        <v>0</v>
      </c>
      <c r="AZ41" s="51">
        <f t="shared" si="39"/>
        <v>0</v>
      </c>
      <c r="BA41" s="51">
        <f t="shared" si="40"/>
        <v>0</v>
      </c>
      <c r="BB41" s="51">
        <f t="shared" si="41"/>
        <v>0</v>
      </c>
      <c r="BC41" s="51">
        <f t="shared" si="0"/>
        <v>0</v>
      </c>
      <c r="BD41" s="51">
        <f t="shared" si="1"/>
        <v>0</v>
      </c>
      <c r="BE41" s="51">
        <f t="shared" si="2"/>
        <v>0</v>
      </c>
      <c r="BF41" s="51">
        <f t="shared" si="3"/>
        <v>0</v>
      </c>
      <c r="BG41" s="51">
        <f t="shared" si="4"/>
        <v>0</v>
      </c>
      <c r="BH41" s="51">
        <f t="shared" si="5"/>
        <v>0</v>
      </c>
      <c r="BI41" s="51">
        <f t="shared" si="6"/>
        <v>0</v>
      </c>
      <c r="BJ41" s="51">
        <f t="shared" si="7"/>
        <v>0</v>
      </c>
      <c r="BK41" s="51">
        <f t="shared" si="8"/>
        <v>0</v>
      </c>
      <c r="BL41" s="51">
        <f t="shared" si="9"/>
        <v>0</v>
      </c>
      <c r="BM41" s="51">
        <f t="shared" si="10"/>
        <v>0</v>
      </c>
      <c r="BN41" s="51">
        <f t="shared" si="11"/>
        <v>0</v>
      </c>
      <c r="BO41" s="51">
        <f t="shared" si="12"/>
        <v>0</v>
      </c>
      <c r="BP41" s="51">
        <f t="shared" si="13"/>
        <v>0</v>
      </c>
      <c r="BQ41" s="51">
        <f t="shared" si="14"/>
        <v>0</v>
      </c>
    </row>
    <row r="42" spans="2:69" ht="14.25" hidden="1" customHeight="1" thickBot="1" x14ac:dyDescent="0.3">
      <c r="B42" s="91" t="s">
        <v>186</v>
      </c>
      <c r="C42" s="116"/>
      <c r="D42" s="112"/>
      <c r="E42" s="111"/>
      <c r="F42" s="112"/>
      <c r="G42" s="111"/>
      <c r="H42" s="112"/>
      <c r="I42" s="111"/>
      <c r="J42" s="112"/>
      <c r="K42" s="111"/>
      <c r="L42" s="112"/>
      <c r="M42" s="111"/>
      <c r="N42" s="112"/>
      <c r="O42" s="111"/>
      <c r="P42" s="191"/>
      <c r="Z42" s="78"/>
      <c r="AA42" s="95" t="s">
        <v>186</v>
      </c>
      <c r="AB42" s="51">
        <f t="shared" si="42"/>
        <v>0</v>
      </c>
      <c r="AC42" s="51">
        <f t="shared" si="43"/>
        <v>0</v>
      </c>
      <c r="AD42" s="51">
        <f t="shared" si="44"/>
        <v>0</v>
      </c>
      <c r="AE42" s="51">
        <f t="shared" si="45"/>
        <v>0</v>
      </c>
      <c r="AF42" s="51">
        <f t="shared" si="46"/>
        <v>0</v>
      </c>
      <c r="AG42" s="51">
        <f t="shared" si="47"/>
        <v>0</v>
      </c>
      <c r="AH42" s="51">
        <f t="shared" si="21"/>
        <v>0</v>
      </c>
      <c r="AI42" s="51">
        <f t="shared" si="22"/>
        <v>0</v>
      </c>
      <c r="AJ42" s="51">
        <f t="shared" si="23"/>
        <v>0</v>
      </c>
      <c r="AK42" s="51">
        <f t="shared" si="24"/>
        <v>0</v>
      </c>
      <c r="AL42" s="51">
        <f t="shared" si="25"/>
        <v>0</v>
      </c>
      <c r="AM42" s="51">
        <f t="shared" si="26"/>
        <v>0</v>
      </c>
      <c r="AN42" s="51">
        <f t="shared" si="27"/>
        <v>0</v>
      </c>
      <c r="AO42" s="51">
        <f t="shared" si="28"/>
        <v>0</v>
      </c>
      <c r="AP42" s="51">
        <f t="shared" si="29"/>
        <v>0</v>
      </c>
      <c r="AQ42" s="51">
        <f t="shared" si="30"/>
        <v>0</v>
      </c>
      <c r="AR42" s="51">
        <f t="shared" si="31"/>
        <v>0</v>
      </c>
      <c r="AS42" s="51">
        <f t="shared" si="32"/>
        <v>0</v>
      </c>
      <c r="AT42" s="51">
        <f t="shared" si="33"/>
        <v>0</v>
      </c>
      <c r="AU42" s="51">
        <f t="shared" si="34"/>
        <v>0</v>
      </c>
      <c r="AV42" s="51">
        <f t="shared" si="35"/>
        <v>0</v>
      </c>
      <c r="AW42" s="51">
        <f t="shared" si="36"/>
        <v>0</v>
      </c>
      <c r="AX42" s="51">
        <f t="shared" si="37"/>
        <v>0</v>
      </c>
      <c r="AY42" s="51">
        <f t="shared" si="38"/>
        <v>0</v>
      </c>
      <c r="AZ42" s="51">
        <f t="shared" si="39"/>
        <v>0</v>
      </c>
      <c r="BA42" s="51">
        <f t="shared" si="40"/>
        <v>0</v>
      </c>
      <c r="BB42" s="51">
        <f t="shared" si="41"/>
        <v>0</v>
      </c>
      <c r="BC42" s="51">
        <f t="shared" si="0"/>
        <v>0</v>
      </c>
      <c r="BD42" s="51">
        <f t="shared" si="1"/>
        <v>0</v>
      </c>
      <c r="BE42" s="51">
        <f t="shared" si="2"/>
        <v>0</v>
      </c>
      <c r="BF42" s="51">
        <f t="shared" si="3"/>
        <v>0</v>
      </c>
      <c r="BG42" s="51">
        <f t="shared" si="4"/>
        <v>0</v>
      </c>
      <c r="BH42" s="51">
        <f t="shared" si="5"/>
        <v>0</v>
      </c>
      <c r="BI42" s="51">
        <f t="shared" si="6"/>
        <v>0</v>
      </c>
      <c r="BJ42" s="51">
        <f t="shared" si="7"/>
        <v>0</v>
      </c>
      <c r="BK42" s="51">
        <f t="shared" si="8"/>
        <v>0</v>
      </c>
      <c r="BL42" s="51">
        <f t="shared" si="9"/>
        <v>0</v>
      </c>
      <c r="BM42" s="51">
        <f t="shared" si="10"/>
        <v>0</v>
      </c>
      <c r="BN42" s="51">
        <f t="shared" si="11"/>
        <v>0</v>
      </c>
      <c r="BO42" s="51">
        <f t="shared" si="12"/>
        <v>0</v>
      </c>
      <c r="BP42" s="51">
        <f t="shared" si="13"/>
        <v>0</v>
      </c>
      <c r="BQ42" s="51">
        <f t="shared" si="14"/>
        <v>0</v>
      </c>
    </row>
    <row r="43" spans="2:69" ht="14.25" hidden="1" customHeight="1" thickBot="1" x14ac:dyDescent="0.3">
      <c r="B43" s="91" t="s">
        <v>187</v>
      </c>
      <c r="C43" s="116"/>
      <c r="D43" s="112"/>
      <c r="E43" s="111"/>
      <c r="F43" s="112"/>
      <c r="G43" s="111"/>
      <c r="H43" s="112"/>
      <c r="I43" s="111"/>
      <c r="J43" s="112"/>
      <c r="K43" s="111"/>
      <c r="L43" s="112"/>
      <c r="M43" s="111"/>
      <c r="N43" s="112"/>
      <c r="O43" s="111"/>
      <c r="P43" s="191"/>
      <c r="Z43" s="78"/>
      <c r="AA43" s="95" t="s">
        <v>187</v>
      </c>
      <c r="AB43" s="51">
        <f t="shared" si="42"/>
        <v>0</v>
      </c>
      <c r="AC43" s="51">
        <f t="shared" si="43"/>
        <v>0</v>
      </c>
      <c r="AD43" s="51">
        <f t="shared" si="44"/>
        <v>0</v>
      </c>
      <c r="AE43" s="51">
        <f t="shared" si="45"/>
        <v>0</v>
      </c>
      <c r="AF43" s="51">
        <f t="shared" si="46"/>
        <v>0</v>
      </c>
      <c r="AG43" s="51">
        <f t="shared" si="47"/>
        <v>0</v>
      </c>
      <c r="AH43" s="51">
        <f t="shared" si="21"/>
        <v>0</v>
      </c>
      <c r="AI43" s="51">
        <f t="shared" si="22"/>
        <v>0</v>
      </c>
      <c r="AJ43" s="51">
        <f t="shared" si="23"/>
        <v>0</v>
      </c>
      <c r="AK43" s="51">
        <f t="shared" si="24"/>
        <v>0</v>
      </c>
      <c r="AL43" s="51">
        <f t="shared" si="25"/>
        <v>0</v>
      </c>
      <c r="AM43" s="51">
        <f t="shared" si="26"/>
        <v>0</v>
      </c>
      <c r="AN43" s="51">
        <f t="shared" si="27"/>
        <v>0</v>
      </c>
      <c r="AO43" s="51">
        <f t="shared" si="28"/>
        <v>0</v>
      </c>
      <c r="AP43" s="51">
        <f t="shared" si="29"/>
        <v>0</v>
      </c>
      <c r="AQ43" s="51">
        <f t="shared" si="30"/>
        <v>0</v>
      </c>
      <c r="AR43" s="51">
        <f t="shared" si="31"/>
        <v>0</v>
      </c>
      <c r="AS43" s="51">
        <f t="shared" si="32"/>
        <v>0</v>
      </c>
      <c r="AT43" s="51">
        <f t="shared" si="33"/>
        <v>0</v>
      </c>
      <c r="AU43" s="51">
        <f t="shared" si="34"/>
        <v>0</v>
      </c>
      <c r="AV43" s="51">
        <f t="shared" si="35"/>
        <v>0</v>
      </c>
      <c r="AW43" s="51">
        <f t="shared" si="36"/>
        <v>0</v>
      </c>
      <c r="AX43" s="51">
        <f t="shared" si="37"/>
        <v>0</v>
      </c>
      <c r="AY43" s="51">
        <f t="shared" si="38"/>
        <v>0</v>
      </c>
      <c r="AZ43" s="51">
        <f t="shared" si="39"/>
        <v>0</v>
      </c>
      <c r="BA43" s="51">
        <f t="shared" si="40"/>
        <v>0</v>
      </c>
      <c r="BB43" s="51">
        <f t="shared" si="41"/>
        <v>0</v>
      </c>
      <c r="BC43" s="51">
        <f t="shared" si="0"/>
        <v>0</v>
      </c>
      <c r="BD43" s="51">
        <f t="shared" si="1"/>
        <v>0</v>
      </c>
      <c r="BE43" s="51">
        <f t="shared" si="2"/>
        <v>0</v>
      </c>
      <c r="BF43" s="51">
        <f t="shared" si="3"/>
        <v>0</v>
      </c>
      <c r="BG43" s="51">
        <f t="shared" si="4"/>
        <v>0</v>
      </c>
      <c r="BH43" s="51">
        <f t="shared" si="5"/>
        <v>0</v>
      </c>
      <c r="BI43" s="51">
        <f t="shared" si="6"/>
        <v>0</v>
      </c>
      <c r="BJ43" s="51">
        <f t="shared" si="7"/>
        <v>0</v>
      </c>
      <c r="BK43" s="51">
        <f t="shared" si="8"/>
        <v>0</v>
      </c>
      <c r="BL43" s="51">
        <f t="shared" si="9"/>
        <v>0</v>
      </c>
      <c r="BM43" s="51">
        <f t="shared" si="10"/>
        <v>0</v>
      </c>
      <c r="BN43" s="51">
        <f t="shared" si="11"/>
        <v>0</v>
      </c>
      <c r="BO43" s="51">
        <f t="shared" si="12"/>
        <v>0</v>
      </c>
      <c r="BP43" s="51">
        <f t="shared" si="13"/>
        <v>0</v>
      </c>
      <c r="BQ43" s="51">
        <f t="shared" si="14"/>
        <v>0</v>
      </c>
    </row>
    <row r="44" spans="2:69" ht="14.25" hidden="1" customHeight="1" thickBot="1" x14ac:dyDescent="0.3">
      <c r="B44" s="91" t="s">
        <v>188</v>
      </c>
      <c r="C44" s="116"/>
      <c r="D44" s="112"/>
      <c r="E44" s="111"/>
      <c r="F44" s="112"/>
      <c r="G44" s="111"/>
      <c r="H44" s="112"/>
      <c r="I44" s="111"/>
      <c r="J44" s="112"/>
      <c r="K44" s="111"/>
      <c r="L44" s="112"/>
      <c r="M44" s="111"/>
      <c r="N44" s="112"/>
      <c r="O44" s="111"/>
      <c r="P44" s="191"/>
      <c r="Z44" s="78"/>
      <c r="AA44" s="95" t="s">
        <v>188</v>
      </c>
      <c r="AB44" s="51">
        <f t="shared" si="42"/>
        <v>0</v>
      </c>
      <c r="AC44" s="51">
        <f t="shared" si="43"/>
        <v>0</v>
      </c>
      <c r="AD44" s="51">
        <f t="shared" si="44"/>
        <v>0</v>
      </c>
      <c r="AE44" s="51">
        <f t="shared" si="45"/>
        <v>0</v>
      </c>
      <c r="AF44" s="51">
        <f t="shared" si="46"/>
        <v>0</v>
      </c>
      <c r="AG44" s="51">
        <f t="shared" si="47"/>
        <v>0</v>
      </c>
      <c r="AH44" s="51">
        <f t="shared" si="21"/>
        <v>0</v>
      </c>
      <c r="AI44" s="51">
        <f t="shared" si="22"/>
        <v>0</v>
      </c>
      <c r="AJ44" s="51">
        <f t="shared" si="23"/>
        <v>0</v>
      </c>
      <c r="AK44" s="51">
        <f t="shared" si="24"/>
        <v>0</v>
      </c>
      <c r="AL44" s="51">
        <f t="shared" si="25"/>
        <v>0</v>
      </c>
      <c r="AM44" s="51">
        <f t="shared" si="26"/>
        <v>0</v>
      </c>
      <c r="AN44" s="51">
        <f t="shared" si="27"/>
        <v>0</v>
      </c>
      <c r="AO44" s="51">
        <f t="shared" si="28"/>
        <v>0</v>
      </c>
      <c r="AP44" s="51">
        <f t="shared" si="29"/>
        <v>0</v>
      </c>
      <c r="AQ44" s="51">
        <f t="shared" si="30"/>
        <v>0</v>
      </c>
      <c r="AR44" s="51">
        <f t="shared" si="31"/>
        <v>0</v>
      </c>
      <c r="AS44" s="51">
        <f t="shared" si="32"/>
        <v>0</v>
      </c>
      <c r="AT44" s="51">
        <f t="shared" si="33"/>
        <v>0</v>
      </c>
      <c r="AU44" s="51">
        <f t="shared" si="34"/>
        <v>0</v>
      </c>
      <c r="AV44" s="51">
        <f t="shared" si="35"/>
        <v>0</v>
      </c>
      <c r="AW44" s="51">
        <f t="shared" si="36"/>
        <v>0</v>
      </c>
      <c r="AX44" s="51">
        <f t="shared" si="37"/>
        <v>0</v>
      </c>
      <c r="AY44" s="51">
        <f t="shared" si="38"/>
        <v>0</v>
      </c>
      <c r="AZ44" s="51">
        <f t="shared" si="39"/>
        <v>0</v>
      </c>
      <c r="BA44" s="51">
        <f t="shared" si="40"/>
        <v>0</v>
      </c>
      <c r="BB44" s="51">
        <f t="shared" si="41"/>
        <v>0</v>
      </c>
      <c r="BC44" s="51">
        <f t="shared" si="0"/>
        <v>0</v>
      </c>
      <c r="BD44" s="51">
        <f t="shared" si="1"/>
        <v>0</v>
      </c>
      <c r="BE44" s="51">
        <f t="shared" si="2"/>
        <v>0</v>
      </c>
      <c r="BF44" s="51">
        <f t="shared" si="3"/>
        <v>0</v>
      </c>
      <c r="BG44" s="51">
        <f t="shared" si="4"/>
        <v>0</v>
      </c>
      <c r="BH44" s="51">
        <f t="shared" si="5"/>
        <v>0</v>
      </c>
      <c r="BI44" s="51">
        <f t="shared" si="6"/>
        <v>0</v>
      </c>
      <c r="BJ44" s="51">
        <f t="shared" si="7"/>
        <v>0</v>
      </c>
      <c r="BK44" s="51">
        <f t="shared" si="8"/>
        <v>0</v>
      </c>
      <c r="BL44" s="51">
        <f t="shared" si="9"/>
        <v>0</v>
      </c>
      <c r="BM44" s="51">
        <f t="shared" si="10"/>
        <v>0</v>
      </c>
      <c r="BN44" s="51">
        <f t="shared" si="11"/>
        <v>0</v>
      </c>
      <c r="BO44" s="51">
        <f t="shared" si="12"/>
        <v>0</v>
      </c>
      <c r="BP44" s="51">
        <f t="shared" si="13"/>
        <v>0</v>
      </c>
      <c r="BQ44" s="51">
        <f t="shared" si="14"/>
        <v>0</v>
      </c>
    </row>
    <row r="45" spans="2:69" ht="14.25" hidden="1" customHeight="1" thickBot="1" x14ac:dyDescent="0.3">
      <c r="B45" s="91" t="s">
        <v>189</v>
      </c>
      <c r="C45" s="116"/>
      <c r="D45" s="112"/>
      <c r="E45" s="111"/>
      <c r="F45" s="112"/>
      <c r="G45" s="111"/>
      <c r="H45" s="112"/>
      <c r="I45" s="111"/>
      <c r="J45" s="112"/>
      <c r="K45" s="111"/>
      <c r="L45" s="112"/>
      <c r="M45" s="111"/>
      <c r="N45" s="112"/>
      <c r="O45" s="111"/>
      <c r="P45" s="191"/>
      <c r="Z45" s="78"/>
      <c r="AA45" s="95" t="s">
        <v>189</v>
      </c>
      <c r="AB45" s="51">
        <f t="shared" si="42"/>
        <v>0</v>
      </c>
      <c r="AC45" s="51">
        <f t="shared" si="43"/>
        <v>0</v>
      </c>
      <c r="AD45" s="51">
        <f t="shared" si="44"/>
        <v>0</v>
      </c>
      <c r="AE45" s="51">
        <f t="shared" si="45"/>
        <v>0</v>
      </c>
      <c r="AF45" s="51">
        <f t="shared" si="46"/>
        <v>0</v>
      </c>
      <c r="AG45" s="51">
        <f t="shared" si="47"/>
        <v>0</v>
      </c>
      <c r="AH45" s="51">
        <f t="shared" si="21"/>
        <v>0</v>
      </c>
      <c r="AI45" s="51">
        <f t="shared" si="22"/>
        <v>0</v>
      </c>
      <c r="AJ45" s="51">
        <f t="shared" si="23"/>
        <v>0</v>
      </c>
      <c r="AK45" s="51">
        <f t="shared" si="24"/>
        <v>0</v>
      </c>
      <c r="AL45" s="51">
        <f t="shared" si="25"/>
        <v>0</v>
      </c>
      <c r="AM45" s="51">
        <f t="shared" si="26"/>
        <v>0</v>
      </c>
      <c r="AN45" s="51">
        <f t="shared" si="27"/>
        <v>0</v>
      </c>
      <c r="AO45" s="51">
        <f t="shared" si="28"/>
        <v>0</v>
      </c>
      <c r="AP45" s="51">
        <f t="shared" si="29"/>
        <v>0</v>
      </c>
      <c r="AQ45" s="51">
        <f t="shared" si="30"/>
        <v>0</v>
      </c>
      <c r="AR45" s="51">
        <f t="shared" si="31"/>
        <v>0</v>
      </c>
      <c r="AS45" s="51">
        <f t="shared" si="32"/>
        <v>0</v>
      </c>
      <c r="AT45" s="51">
        <f t="shared" si="33"/>
        <v>0</v>
      </c>
      <c r="AU45" s="51">
        <f t="shared" si="34"/>
        <v>0</v>
      </c>
      <c r="AV45" s="51">
        <f t="shared" si="35"/>
        <v>0</v>
      </c>
      <c r="AW45" s="51">
        <f t="shared" si="36"/>
        <v>0</v>
      </c>
      <c r="AX45" s="51">
        <f t="shared" si="37"/>
        <v>0</v>
      </c>
      <c r="AY45" s="51">
        <f t="shared" si="38"/>
        <v>0</v>
      </c>
      <c r="AZ45" s="51">
        <f t="shared" si="39"/>
        <v>0</v>
      </c>
      <c r="BA45" s="51">
        <f t="shared" si="40"/>
        <v>0</v>
      </c>
      <c r="BB45" s="51">
        <f t="shared" si="41"/>
        <v>0</v>
      </c>
      <c r="BC45" s="51">
        <f t="shared" si="0"/>
        <v>0</v>
      </c>
      <c r="BD45" s="51">
        <f t="shared" si="1"/>
        <v>0</v>
      </c>
      <c r="BE45" s="51">
        <f t="shared" si="2"/>
        <v>0</v>
      </c>
      <c r="BF45" s="51">
        <f t="shared" si="3"/>
        <v>0</v>
      </c>
      <c r="BG45" s="51">
        <f t="shared" si="4"/>
        <v>0</v>
      </c>
      <c r="BH45" s="51">
        <f t="shared" si="5"/>
        <v>0</v>
      </c>
      <c r="BI45" s="51">
        <f t="shared" si="6"/>
        <v>0</v>
      </c>
      <c r="BJ45" s="51">
        <f t="shared" si="7"/>
        <v>0</v>
      </c>
      <c r="BK45" s="51">
        <f t="shared" si="8"/>
        <v>0</v>
      </c>
      <c r="BL45" s="51">
        <f t="shared" si="9"/>
        <v>0</v>
      </c>
      <c r="BM45" s="51">
        <f t="shared" si="10"/>
        <v>0</v>
      </c>
      <c r="BN45" s="51">
        <f t="shared" si="11"/>
        <v>0</v>
      </c>
      <c r="BO45" s="51">
        <f t="shared" si="12"/>
        <v>0</v>
      </c>
      <c r="BP45" s="51">
        <f t="shared" si="13"/>
        <v>0</v>
      </c>
      <c r="BQ45" s="51">
        <f t="shared" si="14"/>
        <v>0</v>
      </c>
    </row>
    <row r="46" spans="2:69" ht="14.25" hidden="1" customHeight="1" thickBot="1" x14ac:dyDescent="0.3">
      <c r="B46" s="91" t="s">
        <v>190</v>
      </c>
      <c r="C46" s="116"/>
      <c r="D46" s="112"/>
      <c r="E46" s="111"/>
      <c r="F46" s="112"/>
      <c r="G46" s="111"/>
      <c r="H46" s="112"/>
      <c r="I46" s="111"/>
      <c r="J46" s="112"/>
      <c r="K46" s="111"/>
      <c r="L46" s="112"/>
      <c r="M46" s="111"/>
      <c r="N46" s="112"/>
      <c r="O46" s="111"/>
      <c r="P46" s="191"/>
      <c r="Z46" s="78"/>
      <c r="AA46" s="95" t="s">
        <v>190</v>
      </c>
      <c r="AB46" s="51">
        <f t="shared" si="42"/>
        <v>0</v>
      </c>
      <c r="AC46" s="51">
        <f t="shared" si="43"/>
        <v>0</v>
      </c>
      <c r="AD46" s="51">
        <f t="shared" si="44"/>
        <v>0</v>
      </c>
      <c r="AE46" s="51">
        <f t="shared" si="45"/>
        <v>0</v>
      </c>
      <c r="AF46" s="51">
        <f t="shared" si="46"/>
        <v>0</v>
      </c>
      <c r="AG46" s="51">
        <f t="shared" si="47"/>
        <v>0</v>
      </c>
      <c r="AH46" s="51">
        <f t="shared" si="21"/>
        <v>0</v>
      </c>
      <c r="AI46" s="51">
        <f t="shared" si="22"/>
        <v>0</v>
      </c>
      <c r="AJ46" s="51">
        <f t="shared" si="23"/>
        <v>0</v>
      </c>
      <c r="AK46" s="51">
        <f t="shared" si="24"/>
        <v>0</v>
      </c>
      <c r="AL46" s="51">
        <f t="shared" si="25"/>
        <v>0</v>
      </c>
      <c r="AM46" s="51">
        <f t="shared" si="26"/>
        <v>0</v>
      </c>
      <c r="AN46" s="51">
        <f t="shared" si="27"/>
        <v>0</v>
      </c>
      <c r="AO46" s="51">
        <f t="shared" si="28"/>
        <v>0</v>
      </c>
      <c r="AP46" s="51">
        <f t="shared" si="29"/>
        <v>0</v>
      </c>
      <c r="AQ46" s="51">
        <f t="shared" si="30"/>
        <v>0</v>
      </c>
      <c r="AR46" s="51">
        <f t="shared" si="31"/>
        <v>0</v>
      </c>
      <c r="AS46" s="51">
        <f t="shared" si="32"/>
        <v>0</v>
      </c>
      <c r="AT46" s="51">
        <f t="shared" si="33"/>
        <v>0</v>
      </c>
      <c r="AU46" s="51">
        <f t="shared" si="34"/>
        <v>0</v>
      </c>
      <c r="AV46" s="51">
        <f t="shared" si="35"/>
        <v>0</v>
      </c>
      <c r="AW46" s="51">
        <f t="shared" si="36"/>
        <v>0</v>
      </c>
      <c r="AX46" s="51">
        <f t="shared" si="37"/>
        <v>0</v>
      </c>
      <c r="AY46" s="51">
        <f t="shared" si="38"/>
        <v>0</v>
      </c>
      <c r="AZ46" s="51">
        <f t="shared" si="39"/>
        <v>0</v>
      </c>
      <c r="BA46" s="51">
        <f t="shared" si="40"/>
        <v>0</v>
      </c>
      <c r="BB46" s="51">
        <f t="shared" si="41"/>
        <v>0</v>
      </c>
      <c r="BC46" s="51">
        <f t="shared" si="0"/>
        <v>0</v>
      </c>
      <c r="BD46" s="51">
        <f t="shared" si="1"/>
        <v>0</v>
      </c>
      <c r="BE46" s="51">
        <f t="shared" si="2"/>
        <v>0</v>
      </c>
      <c r="BF46" s="51">
        <f t="shared" si="3"/>
        <v>0</v>
      </c>
      <c r="BG46" s="51">
        <f t="shared" si="4"/>
        <v>0</v>
      </c>
      <c r="BH46" s="51">
        <f t="shared" si="5"/>
        <v>0</v>
      </c>
      <c r="BI46" s="51">
        <f t="shared" si="6"/>
        <v>0</v>
      </c>
      <c r="BJ46" s="51">
        <f t="shared" si="7"/>
        <v>0</v>
      </c>
      <c r="BK46" s="51">
        <f t="shared" si="8"/>
        <v>0</v>
      </c>
      <c r="BL46" s="51">
        <f t="shared" si="9"/>
        <v>0</v>
      </c>
      <c r="BM46" s="51">
        <f t="shared" si="10"/>
        <v>0</v>
      </c>
      <c r="BN46" s="51">
        <f t="shared" si="11"/>
        <v>0</v>
      </c>
      <c r="BO46" s="51">
        <f t="shared" si="12"/>
        <v>0</v>
      </c>
      <c r="BP46" s="51">
        <f t="shared" si="13"/>
        <v>0</v>
      </c>
      <c r="BQ46" s="51">
        <f t="shared" si="14"/>
        <v>0</v>
      </c>
    </row>
    <row r="47" spans="2:69" ht="14.25" hidden="1" customHeight="1" thickBot="1" x14ac:dyDescent="0.3">
      <c r="B47" s="91" t="s">
        <v>191</v>
      </c>
      <c r="C47" s="116"/>
      <c r="D47" s="112"/>
      <c r="E47" s="111"/>
      <c r="F47" s="112"/>
      <c r="G47" s="111"/>
      <c r="H47" s="112"/>
      <c r="I47" s="111"/>
      <c r="J47" s="112"/>
      <c r="K47" s="111"/>
      <c r="L47" s="112"/>
      <c r="M47" s="111"/>
      <c r="N47" s="112"/>
      <c r="O47" s="111"/>
      <c r="P47" s="191"/>
      <c r="Z47" s="78"/>
      <c r="AA47" s="95" t="s">
        <v>191</v>
      </c>
      <c r="AB47" s="51">
        <f t="shared" si="42"/>
        <v>0</v>
      </c>
      <c r="AC47" s="51">
        <f t="shared" si="43"/>
        <v>0</v>
      </c>
      <c r="AD47" s="51">
        <f t="shared" si="44"/>
        <v>0</v>
      </c>
      <c r="AE47" s="51">
        <f t="shared" si="45"/>
        <v>0</v>
      </c>
      <c r="AF47" s="51">
        <f t="shared" si="46"/>
        <v>0</v>
      </c>
      <c r="AG47" s="51">
        <f t="shared" si="47"/>
        <v>0</v>
      </c>
      <c r="AH47" s="51">
        <f t="shared" si="21"/>
        <v>0</v>
      </c>
      <c r="AI47" s="51">
        <f t="shared" si="22"/>
        <v>0</v>
      </c>
      <c r="AJ47" s="51">
        <f t="shared" si="23"/>
        <v>0</v>
      </c>
      <c r="AK47" s="51">
        <f t="shared" si="24"/>
        <v>0</v>
      </c>
      <c r="AL47" s="51">
        <f t="shared" si="25"/>
        <v>0</v>
      </c>
      <c r="AM47" s="51">
        <f t="shared" si="26"/>
        <v>0</v>
      </c>
      <c r="AN47" s="51">
        <f t="shared" si="27"/>
        <v>0</v>
      </c>
      <c r="AO47" s="51">
        <f t="shared" si="28"/>
        <v>0</v>
      </c>
      <c r="AP47" s="51">
        <f t="shared" si="29"/>
        <v>0</v>
      </c>
      <c r="AQ47" s="51">
        <f t="shared" si="30"/>
        <v>0</v>
      </c>
      <c r="AR47" s="51">
        <f t="shared" si="31"/>
        <v>0</v>
      </c>
      <c r="AS47" s="51">
        <f t="shared" si="32"/>
        <v>0</v>
      </c>
      <c r="AT47" s="51">
        <f t="shared" si="33"/>
        <v>0</v>
      </c>
      <c r="AU47" s="51">
        <f t="shared" si="34"/>
        <v>0</v>
      </c>
      <c r="AV47" s="51">
        <f t="shared" si="35"/>
        <v>0</v>
      </c>
      <c r="AW47" s="51">
        <f t="shared" si="36"/>
        <v>0</v>
      </c>
      <c r="AX47" s="51">
        <f t="shared" si="37"/>
        <v>0</v>
      </c>
      <c r="AY47" s="51">
        <f t="shared" si="38"/>
        <v>0</v>
      </c>
      <c r="AZ47" s="51">
        <f t="shared" si="39"/>
        <v>0</v>
      </c>
      <c r="BA47" s="51">
        <f t="shared" si="40"/>
        <v>0</v>
      </c>
      <c r="BB47" s="51">
        <f t="shared" si="41"/>
        <v>0</v>
      </c>
      <c r="BC47" s="51">
        <f t="shared" si="0"/>
        <v>0</v>
      </c>
      <c r="BD47" s="51">
        <f t="shared" si="1"/>
        <v>0</v>
      </c>
      <c r="BE47" s="51">
        <f t="shared" si="2"/>
        <v>0</v>
      </c>
      <c r="BF47" s="51">
        <f t="shared" si="3"/>
        <v>0</v>
      </c>
      <c r="BG47" s="51">
        <f t="shared" si="4"/>
        <v>0</v>
      </c>
      <c r="BH47" s="51">
        <f t="shared" si="5"/>
        <v>0</v>
      </c>
      <c r="BI47" s="51">
        <f t="shared" si="6"/>
        <v>0</v>
      </c>
      <c r="BJ47" s="51">
        <f t="shared" si="7"/>
        <v>0</v>
      </c>
      <c r="BK47" s="51">
        <f t="shared" si="8"/>
        <v>0</v>
      </c>
      <c r="BL47" s="51">
        <f t="shared" si="9"/>
        <v>0</v>
      </c>
      <c r="BM47" s="51">
        <f t="shared" si="10"/>
        <v>0</v>
      </c>
      <c r="BN47" s="51">
        <f t="shared" si="11"/>
        <v>0</v>
      </c>
      <c r="BO47" s="51">
        <f t="shared" si="12"/>
        <v>0</v>
      </c>
      <c r="BP47" s="51">
        <f t="shared" si="13"/>
        <v>0</v>
      </c>
      <c r="BQ47" s="51">
        <f t="shared" si="14"/>
        <v>0</v>
      </c>
    </row>
    <row r="48" spans="2:69" ht="14.25" hidden="1" customHeight="1" thickBot="1" x14ac:dyDescent="0.3">
      <c r="B48" s="91" t="s">
        <v>192</v>
      </c>
      <c r="C48" s="116"/>
      <c r="D48" s="112"/>
      <c r="E48" s="111"/>
      <c r="F48" s="112"/>
      <c r="G48" s="111"/>
      <c r="H48" s="112"/>
      <c r="I48" s="111"/>
      <c r="J48" s="112"/>
      <c r="K48" s="111"/>
      <c r="L48" s="112"/>
      <c r="M48" s="111"/>
      <c r="N48" s="112"/>
      <c r="O48" s="111"/>
      <c r="P48" s="191"/>
      <c r="Z48" s="78"/>
      <c r="AA48" s="95" t="s">
        <v>192</v>
      </c>
      <c r="AB48" s="51">
        <f t="shared" si="42"/>
        <v>0</v>
      </c>
      <c r="AC48" s="51">
        <f t="shared" si="43"/>
        <v>0</v>
      </c>
      <c r="AD48" s="51">
        <f t="shared" si="44"/>
        <v>0</v>
      </c>
      <c r="AE48" s="51">
        <f t="shared" si="45"/>
        <v>0</v>
      </c>
      <c r="AF48" s="51">
        <f t="shared" si="46"/>
        <v>0</v>
      </c>
      <c r="AG48" s="51">
        <f t="shared" si="47"/>
        <v>0</v>
      </c>
      <c r="AH48" s="51">
        <f t="shared" si="21"/>
        <v>0</v>
      </c>
      <c r="AI48" s="51">
        <f t="shared" si="22"/>
        <v>0</v>
      </c>
      <c r="AJ48" s="51">
        <f t="shared" si="23"/>
        <v>0</v>
      </c>
      <c r="AK48" s="51">
        <f t="shared" si="24"/>
        <v>0</v>
      </c>
      <c r="AL48" s="51">
        <f t="shared" si="25"/>
        <v>0</v>
      </c>
      <c r="AM48" s="51">
        <f t="shared" si="26"/>
        <v>0</v>
      </c>
      <c r="AN48" s="51">
        <f t="shared" si="27"/>
        <v>0</v>
      </c>
      <c r="AO48" s="51">
        <f t="shared" si="28"/>
        <v>0</v>
      </c>
      <c r="AP48" s="51">
        <f t="shared" si="29"/>
        <v>0</v>
      </c>
      <c r="AQ48" s="51">
        <f t="shared" si="30"/>
        <v>0</v>
      </c>
      <c r="AR48" s="51">
        <f t="shared" si="31"/>
        <v>0</v>
      </c>
      <c r="AS48" s="51">
        <f t="shared" si="32"/>
        <v>0</v>
      </c>
      <c r="AT48" s="51">
        <f t="shared" si="33"/>
        <v>0</v>
      </c>
      <c r="AU48" s="51">
        <f t="shared" si="34"/>
        <v>0</v>
      </c>
      <c r="AV48" s="51">
        <f t="shared" si="35"/>
        <v>0</v>
      </c>
      <c r="AW48" s="51">
        <f t="shared" si="36"/>
        <v>0</v>
      </c>
      <c r="AX48" s="51">
        <f t="shared" si="37"/>
        <v>0</v>
      </c>
      <c r="AY48" s="51">
        <f t="shared" si="38"/>
        <v>0</v>
      </c>
      <c r="AZ48" s="51">
        <f t="shared" si="39"/>
        <v>0</v>
      </c>
      <c r="BA48" s="51">
        <f t="shared" si="40"/>
        <v>0</v>
      </c>
      <c r="BB48" s="51">
        <f t="shared" si="41"/>
        <v>0</v>
      </c>
      <c r="BC48" s="51">
        <f t="shared" si="0"/>
        <v>0</v>
      </c>
      <c r="BD48" s="51">
        <f t="shared" si="1"/>
        <v>0</v>
      </c>
      <c r="BE48" s="51">
        <f t="shared" si="2"/>
        <v>0</v>
      </c>
      <c r="BF48" s="51">
        <f t="shared" si="3"/>
        <v>0</v>
      </c>
      <c r="BG48" s="51">
        <f t="shared" si="4"/>
        <v>0</v>
      </c>
      <c r="BH48" s="51">
        <f t="shared" si="5"/>
        <v>0</v>
      </c>
      <c r="BI48" s="51">
        <f t="shared" si="6"/>
        <v>0</v>
      </c>
      <c r="BJ48" s="51">
        <f t="shared" si="7"/>
        <v>0</v>
      </c>
      <c r="BK48" s="51">
        <f t="shared" si="8"/>
        <v>0</v>
      </c>
      <c r="BL48" s="51">
        <f t="shared" si="9"/>
        <v>0</v>
      </c>
      <c r="BM48" s="51">
        <f t="shared" si="10"/>
        <v>0</v>
      </c>
      <c r="BN48" s="51">
        <f t="shared" si="11"/>
        <v>0</v>
      </c>
      <c r="BO48" s="51">
        <f t="shared" si="12"/>
        <v>0</v>
      </c>
      <c r="BP48" s="51">
        <f t="shared" si="13"/>
        <v>0</v>
      </c>
      <c r="BQ48" s="51">
        <f t="shared" si="14"/>
        <v>0</v>
      </c>
    </row>
    <row r="49" spans="2:69" ht="14.25" hidden="1" customHeight="1" thickBot="1" x14ac:dyDescent="0.3">
      <c r="B49" s="91" t="s">
        <v>193</v>
      </c>
      <c r="C49" s="116"/>
      <c r="D49" s="112"/>
      <c r="E49" s="111"/>
      <c r="F49" s="112"/>
      <c r="G49" s="111"/>
      <c r="H49" s="112"/>
      <c r="I49" s="111"/>
      <c r="J49" s="112"/>
      <c r="K49" s="111"/>
      <c r="L49" s="112"/>
      <c r="M49" s="111"/>
      <c r="N49" s="112"/>
      <c r="O49" s="111"/>
      <c r="P49" s="191"/>
      <c r="Z49" s="78"/>
      <c r="AA49" s="95" t="s">
        <v>193</v>
      </c>
      <c r="AB49" s="51">
        <f t="shared" si="42"/>
        <v>0</v>
      </c>
      <c r="AC49" s="51">
        <f t="shared" si="43"/>
        <v>0</v>
      </c>
      <c r="AD49" s="51">
        <f t="shared" si="44"/>
        <v>0</v>
      </c>
      <c r="AE49" s="51">
        <f t="shared" si="45"/>
        <v>0</v>
      </c>
      <c r="AF49" s="51">
        <f t="shared" si="46"/>
        <v>0</v>
      </c>
      <c r="AG49" s="51">
        <f t="shared" si="47"/>
        <v>0</v>
      </c>
      <c r="AH49" s="51">
        <f t="shared" si="21"/>
        <v>0</v>
      </c>
      <c r="AI49" s="51">
        <f t="shared" si="22"/>
        <v>0</v>
      </c>
      <c r="AJ49" s="51">
        <f t="shared" si="23"/>
        <v>0</v>
      </c>
      <c r="AK49" s="51">
        <f t="shared" si="24"/>
        <v>0</v>
      </c>
      <c r="AL49" s="51">
        <f t="shared" si="25"/>
        <v>0</v>
      </c>
      <c r="AM49" s="51">
        <f t="shared" si="26"/>
        <v>0</v>
      </c>
      <c r="AN49" s="51">
        <f t="shared" si="27"/>
        <v>0</v>
      </c>
      <c r="AO49" s="51">
        <f t="shared" si="28"/>
        <v>0</v>
      </c>
      <c r="AP49" s="51">
        <f t="shared" si="29"/>
        <v>0</v>
      </c>
      <c r="AQ49" s="51">
        <f t="shared" si="30"/>
        <v>0</v>
      </c>
      <c r="AR49" s="51">
        <f t="shared" si="31"/>
        <v>0</v>
      </c>
      <c r="AS49" s="51">
        <f t="shared" si="32"/>
        <v>0</v>
      </c>
      <c r="AT49" s="51">
        <f t="shared" si="33"/>
        <v>0</v>
      </c>
      <c r="AU49" s="51">
        <f t="shared" si="34"/>
        <v>0</v>
      </c>
      <c r="AV49" s="51">
        <f t="shared" si="35"/>
        <v>0</v>
      </c>
      <c r="AW49" s="51">
        <f t="shared" si="36"/>
        <v>0</v>
      </c>
      <c r="AX49" s="51">
        <f t="shared" si="37"/>
        <v>0</v>
      </c>
      <c r="AY49" s="51">
        <f t="shared" si="38"/>
        <v>0</v>
      </c>
      <c r="AZ49" s="51">
        <f t="shared" si="39"/>
        <v>0</v>
      </c>
      <c r="BA49" s="51">
        <f t="shared" si="40"/>
        <v>0</v>
      </c>
      <c r="BB49" s="51">
        <f t="shared" si="41"/>
        <v>0</v>
      </c>
      <c r="BC49" s="51">
        <f t="shared" si="0"/>
        <v>0</v>
      </c>
      <c r="BD49" s="51">
        <f t="shared" si="1"/>
        <v>0</v>
      </c>
      <c r="BE49" s="51">
        <f t="shared" si="2"/>
        <v>0</v>
      </c>
      <c r="BF49" s="51">
        <f t="shared" si="3"/>
        <v>0</v>
      </c>
      <c r="BG49" s="51">
        <f t="shared" si="4"/>
        <v>0</v>
      </c>
      <c r="BH49" s="51">
        <f t="shared" si="5"/>
        <v>0</v>
      </c>
      <c r="BI49" s="51">
        <f t="shared" si="6"/>
        <v>0</v>
      </c>
      <c r="BJ49" s="51">
        <f t="shared" si="7"/>
        <v>0</v>
      </c>
      <c r="BK49" s="51">
        <f t="shared" si="8"/>
        <v>0</v>
      </c>
      <c r="BL49" s="51">
        <f t="shared" si="9"/>
        <v>0</v>
      </c>
      <c r="BM49" s="51">
        <f t="shared" si="10"/>
        <v>0</v>
      </c>
      <c r="BN49" s="51">
        <f t="shared" si="11"/>
        <v>0</v>
      </c>
      <c r="BO49" s="51">
        <f t="shared" si="12"/>
        <v>0</v>
      </c>
      <c r="BP49" s="51">
        <f t="shared" si="13"/>
        <v>0</v>
      </c>
      <c r="BQ49" s="51">
        <f t="shared" si="14"/>
        <v>0</v>
      </c>
    </row>
    <row r="50" spans="2:69" ht="14.25" hidden="1" customHeight="1" thickBot="1" x14ac:dyDescent="0.3">
      <c r="B50" s="91" t="s">
        <v>194</v>
      </c>
      <c r="C50" s="116"/>
      <c r="D50" s="112"/>
      <c r="E50" s="111"/>
      <c r="F50" s="112"/>
      <c r="G50" s="111"/>
      <c r="H50" s="112"/>
      <c r="I50" s="111"/>
      <c r="J50" s="112"/>
      <c r="K50" s="111"/>
      <c r="L50" s="112"/>
      <c r="M50" s="111"/>
      <c r="N50" s="112"/>
      <c r="O50" s="111"/>
      <c r="P50" s="191"/>
      <c r="Z50" s="78"/>
      <c r="AA50" s="95" t="s">
        <v>194</v>
      </c>
      <c r="AB50" s="51">
        <f t="shared" si="42"/>
        <v>0</v>
      </c>
      <c r="AC50" s="51">
        <f t="shared" si="43"/>
        <v>0</v>
      </c>
      <c r="AD50" s="51">
        <f t="shared" si="44"/>
        <v>0</v>
      </c>
      <c r="AE50" s="51">
        <f t="shared" si="45"/>
        <v>0</v>
      </c>
      <c r="AF50" s="51">
        <f t="shared" si="46"/>
        <v>0</v>
      </c>
      <c r="AG50" s="51">
        <f t="shared" si="47"/>
        <v>0</v>
      </c>
      <c r="AH50" s="51">
        <f t="shared" si="21"/>
        <v>0</v>
      </c>
      <c r="AI50" s="51">
        <f t="shared" si="22"/>
        <v>0</v>
      </c>
      <c r="AJ50" s="51">
        <f t="shared" si="23"/>
        <v>0</v>
      </c>
      <c r="AK50" s="51">
        <f t="shared" si="24"/>
        <v>0</v>
      </c>
      <c r="AL50" s="51">
        <f t="shared" si="25"/>
        <v>0</v>
      </c>
      <c r="AM50" s="51">
        <f t="shared" si="26"/>
        <v>0</v>
      </c>
      <c r="AN50" s="51">
        <f t="shared" si="27"/>
        <v>0</v>
      </c>
      <c r="AO50" s="51">
        <f t="shared" si="28"/>
        <v>0</v>
      </c>
      <c r="AP50" s="51">
        <f t="shared" si="29"/>
        <v>0</v>
      </c>
      <c r="AQ50" s="51">
        <f t="shared" si="30"/>
        <v>0</v>
      </c>
      <c r="AR50" s="51">
        <f t="shared" si="31"/>
        <v>0</v>
      </c>
      <c r="AS50" s="51">
        <f t="shared" si="32"/>
        <v>0</v>
      </c>
      <c r="AT50" s="51">
        <f t="shared" si="33"/>
        <v>0</v>
      </c>
      <c r="AU50" s="51">
        <f t="shared" si="34"/>
        <v>0</v>
      </c>
      <c r="AV50" s="51">
        <f t="shared" si="35"/>
        <v>0</v>
      </c>
      <c r="AW50" s="51">
        <f t="shared" si="36"/>
        <v>0</v>
      </c>
      <c r="AX50" s="51">
        <f t="shared" si="37"/>
        <v>0</v>
      </c>
      <c r="AY50" s="51">
        <f t="shared" si="38"/>
        <v>0</v>
      </c>
      <c r="AZ50" s="51">
        <f t="shared" si="39"/>
        <v>0</v>
      </c>
      <c r="BA50" s="51">
        <f t="shared" si="40"/>
        <v>0</v>
      </c>
      <c r="BB50" s="51">
        <f t="shared" si="41"/>
        <v>0</v>
      </c>
      <c r="BC50" s="51">
        <f t="shared" si="0"/>
        <v>0</v>
      </c>
      <c r="BD50" s="51">
        <f t="shared" si="1"/>
        <v>0</v>
      </c>
      <c r="BE50" s="51">
        <f t="shared" si="2"/>
        <v>0</v>
      </c>
      <c r="BF50" s="51">
        <f t="shared" si="3"/>
        <v>0</v>
      </c>
      <c r="BG50" s="51">
        <f t="shared" si="4"/>
        <v>0</v>
      </c>
      <c r="BH50" s="51">
        <f t="shared" si="5"/>
        <v>0</v>
      </c>
      <c r="BI50" s="51">
        <f t="shared" si="6"/>
        <v>0</v>
      </c>
      <c r="BJ50" s="51">
        <f t="shared" si="7"/>
        <v>0</v>
      </c>
      <c r="BK50" s="51">
        <f t="shared" si="8"/>
        <v>0</v>
      </c>
      <c r="BL50" s="51">
        <f t="shared" si="9"/>
        <v>0</v>
      </c>
      <c r="BM50" s="51">
        <f t="shared" si="10"/>
        <v>0</v>
      </c>
      <c r="BN50" s="51">
        <f t="shared" si="11"/>
        <v>0</v>
      </c>
      <c r="BO50" s="51">
        <f t="shared" si="12"/>
        <v>0</v>
      </c>
      <c r="BP50" s="51">
        <f t="shared" si="13"/>
        <v>0</v>
      </c>
      <c r="BQ50" s="51">
        <f t="shared" si="14"/>
        <v>0</v>
      </c>
    </row>
    <row r="51" spans="2:69" ht="14.25" hidden="1" customHeight="1" thickBot="1" x14ac:dyDescent="0.3">
      <c r="B51" s="91" t="s">
        <v>195</v>
      </c>
      <c r="C51" s="116"/>
      <c r="D51" s="112"/>
      <c r="E51" s="111"/>
      <c r="F51" s="112"/>
      <c r="G51" s="111"/>
      <c r="H51" s="112"/>
      <c r="I51" s="111"/>
      <c r="J51" s="112"/>
      <c r="K51" s="111"/>
      <c r="L51" s="112"/>
      <c r="M51" s="111"/>
      <c r="N51" s="112"/>
      <c r="O51" s="111"/>
      <c r="P51" s="191"/>
      <c r="Z51" s="78"/>
      <c r="AA51" s="95" t="s">
        <v>195</v>
      </c>
      <c r="AB51" s="51">
        <f t="shared" si="42"/>
        <v>0</v>
      </c>
      <c r="AC51" s="51">
        <f t="shared" si="43"/>
        <v>0</v>
      </c>
      <c r="AD51" s="51">
        <f t="shared" si="44"/>
        <v>0</v>
      </c>
      <c r="AE51" s="51">
        <f t="shared" si="45"/>
        <v>0</v>
      </c>
      <c r="AF51" s="51">
        <f t="shared" si="46"/>
        <v>0</v>
      </c>
      <c r="AG51" s="51">
        <f t="shared" si="47"/>
        <v>0</v>
      </c>
      <c r="AH51" s="51">
        <f t="shared" si="21"/>
        <v>0</v>
      </c>
      <c r="AI51" s="51">
        <f t="shared" si="22"/>
        <v>0</v>
      </c>
      <c r="AJ51" s="51">
        <f t="shared" si="23"/>
        <v>0</v>
      </c>
      <c r="AK51" s="51">
        <f t="shared" si="24"/>
        <v>0</v>
      </c>
      <c r="AL51" s="51">
        <f t="shared" si="25"/>
        <v>0</v>
      </c>
      <c r="AM51" s="51">
        <f t="shared" si="26"/>
        <v>0</v>
      </c>
      <c r="AN51" s="51">
        <f t="shared" si="27"/>
        <v>0</v>
      </c>
      <c r="AO51" s="51">
        <f t="shared" si="28"/>
        <v>0</v>
      </c>
      <c r="AP51" s="51">
        <f t="shared" si="29"/>
        <v>0</v>
      </c>
      <c r="AQ51" s="51">
        <f t="shared" si="30"/>
        <v>0</v>
      </c>
      <c r="AR51" s="51">
        <f t="shared" si="31"/>
        <v>0</v>
      </c>
      <c r="AS51" s="51">
        <f t="shared" si="32"/>
        <v>0</v>
      </c>
      <c r="AT51" s="51">
        <f t="shared" si="33"/>
        <v>0</v>
      </c>
      <c r="AU51" s="51">
        <f t="shared" si="34"/>
        <v>0</v>
      </c>
      <c r="AV51" s="51">
        <f t="shared" si="35"/>
        <v>0</v>
      </c>
      <c r="AW51" s="51">
        <f t="shared" si="36"/>
        <v>0</v>
      </c>
      <c r="AX51" s="51">
        <f t="shared" si="37"/>
        <v>0</v>
      </c>
      <c r="AY51" s="51">
        <f t="shared" si="38"/>
        <v>0</v>
      </c>
      <c r="AZ51" s="51">
        <f t="shared" si="39"/>
        <v>0</v>
      </c>
      <c r="BA51" s="51">
        <f t="shared" si="40"/>
        <v>0</v>
      </c>
      <c r="BB51" s="51">
        <f t="shared" si="41"/>
        <v>0</v>
      </c>
      <c r="BC51" s="51">
        <f t="shared" si="0"/>
        <v>0</v>
      </c>
      <c r="BD51" s="51">
        <f t="shared" si="1"/>
        <v>0</v>
      </c>
      <c r="BE51" s="51">
        <f t="shared" si="2"/>
        <v>0</v>
      </c>
      <c r="BF51" s="51">
        <f t="shared" si="3"/>
        <v>0</v>
      </c>
      <c r="BG51" s="51">
        <f t="shared" si="4"/>
        <v>0</v>
      </c>
      <c r="BH51" s="51">
        <f t="shared" si="5"/>
        <v>0</v>
      </c>
      <c r="BI51" s="51">
        <f t="shared" si="6"/>
        <v>0</v>
      </c>
      <c r="BJ51" s="51">
        <f t="shared" si="7"/>
        <v>0</v>
      </c>
      <c r="BK51" s="51">
        <f t="shared" si="8"/>
        <v>0</v>
      </c>
      <c r="BL51" s="51">
        <f t="shared" si="9"/>
        <v>0</v>
      </c>
      <c r="BM51" s="51">
        <f t="shared" si="10"/>
        <v>0</v>
      </c>
      <c r="BN51" s="51">
        <f t="shared" si="11"/>
        <v>0</v>
      </c>
      <c r="BO51" s="51">
        <f t="shared" si="12"/>
        <v>0</v>
      </c>
      <c r="BP51" s="51">
        <f t="shared" si="13"/>
        <v>0</v>
      </c>
      <c r="BQ51" s="51">
        <f t="shared" si="14"/>
        <v>0</v>
      </c>
    </row>
    <row r="52" spans="2:69" ht="14.25" hidden="1" customHeight="1" thickBot="1" x14ac:dyDescent="0.3">
      <c r="B52" s="91" t="s">
        <v>196</v>
      </c>
      <c r="C52" s="116"/>
      <c r="D52" s="112"/>
      <c r="E52" s="111"/>
      <c r="F52" s="112"/>
      <c r="G52" s="111"/>
      <c r="H52" s="112"/>
      <c r="I52" s="111"/>
      <c r="J52" s="112"/>
      <c r="K52" s="111"/>
      <c r="L52" s="112"/>
      <c r="M52" s="111"/>
      <c r="N52" s="112"/>
      <c r="O52" s="111"/>
      <c r="P52" s="191"/>
      <c r="Z52" s="78"/>
      <c r="AA52" s="95" t="s">
        <v>196</v>
      </c>
      <c r="AB52" s="51">
        <f t="shared" si="42"/>
        <v>0</v>
      </c>
      <c r="AC52" s="51">
        <f t="shared" si="43"/>
        <v>0</v>
      </c>
      <c r="AD52" s="51">
        <f t="shared" si="44"/>
        <v>0</v>
      </c>
      <c r="AE52" s="51">
        <f t="shared" si="45"/>
        <v>0</v>
      </c>
      <c r="AF52" s="51">
        <f t="shared" si="46"/>
        <v>0</v>
      </c>
      <c r="AG52" s="51">
        <f t="shared" si="47"/>
        <v>0</v>
      </c>
      <c r="AH52" s="51">
        <f t="shared" si="21"/>
        <v>0</v>
      </c>
      <c r="AI52" s="51">
        <f t="shared" si="22"/>
        <v>0</v>
      </c>
      <c r="AJ52" s="51">
        <f t="shared" si="23"/>
        <v>0</v>
      </c>
      <c r="AK52" s="51">
        <f t="shared" si="24"/>
        <v>0</v>
      </c>
      <c r="AL52" s="51">
        <f t="shared" si="25"/>
        <v>0</v>
      </c>
      <c r="AM52" s="51">
        <f t="shared" si="26"/>
        <v>0</v>
      </c>
      <c r="AN52" s="51">
        <f t="shared" si="27"/>
        <v>0</v>
      </c>
      <c r="AO52" s="51">
        <f t="shared" si="28"/>
        <v>0</v>
      </c>
      <c r="AP52" s="51">
        <f t="shared" si="29"/>
        <v>0</v>
      </c>
      <c r="AQ52" s="51">
        <f t="shared" si="30"/>
        <v>0</v>
      </c>
      <c r="AR52" s="51">
        <f t="shared" si="31"/>
        <v>0</v>
      </c>
      <c r="AS52" s="51">
        <f t="shared" si="32"/>
        <v>0</v>
      </c>
      <c r="AT52" s="51">
        <f t="shared" si="33"/>
        <v>0</v>
      </c>
      <c r="AU52" s="51">
        <f t="shared" si="34"/>
        <v>0</v>
      </c>
      <c r="AV52" s="51">
        <f t="shared" si="35"/>
        <v>0</v>
      </c>
      <c r="AW52" s="51">
        <f t="shared" si="36"/>
        <v>0</v>
      </c>
      <c r="AX52" s="51">
        <f t="shared" si="37"/>
        <v>0</v>
      </c>
      <c r="AY52" s="51">
        <f t="shared" si="38"/>
        <v>0</v>
      </c>
      <c r="AZ52" s="51">
        <f t="shared" si="39"/>
        <v>0</v>
      </c>
      <c r="BA52" s="51">
        <f t="shared" si="40"/>
        <v>0</v>
      </c>
      <c r="BB52" s="51">
        <f t="shared" si="41"/>
        <v>0</v>
      </c>
      <c r="BC52" s="51">
        <f t="shared" si="0"/>
        <v>0</v>
      </c>
      <c r="BD52" s="51">
        <f t="shared" si="1"/>
        <v>0</v>
      </c>
      <c r="BE52" s="51">
        <f t="shared" si="2"/>
        <v>0</v>
      </c>
      <c r="BF52" s="51">
        <f t="shared" si="3"/>
        <v>0</v>
      </c>
      <c r="BG52" s="51">
        <f t="shared" si="4"/>
        <v>0</v>
      </c>
      <c r="BH52" s="51">
        <f t="shared" si="5"/>
        <v>0</v>
      </c>
      <c r="BI52" s="51">
        <f t="shared" si="6"/>
        <v>0</v>
      </c>
      <c r="BJ52" s="51">
        <f t="shared" si="7"/>
        <v>0</v>
      </c>
      <c r="BK52" s="51">
        <f t="shared" si="8"/>
        <v>0</v>
      </c>
      <c r="BL52" s="51">
        <f t="shared" si="9"/>
        <v>0</v>
      </c>
      <c r="BM52" s="51">
        <f t="shared" si="10"/>
        <v>0</v>
      </c>
      <c r="BN52" s="51">
        <f t="shared" si="11"/>
        <v>0</v>
      </c>
      <c r="BO52" s="51">
        <f t="shared" si="12"/>
        <v>0</v>
      </c>
      <c r="BP52" s="51">
        <f t="shared" si="13"/>
        <v>0</v>
      </c>
      <c r="BQ52" s="51">
        <f t="shared" si="14"/>
        <v>0</v>
      </c>
    </row>
    <row r="53" spans="2:69" ht="14.25" hidden="1" customHeight="1" thickBot="1" x14ac:dyDescent="0.3">
      <c r="B53" s="91" t="s">
        <v>197</v>
      </c>
      <c r="C53" s="116"/>
      <c r="D53" s="112"/>
      <c r="E53" s="111"/>
      <c r="F53" s="112"/>
      <c r="G53" s="111"/>
      <c r="H53" s="112"/>
      <c r="I53" s="111"/>
      <c r="J53" s="112"/>
      <c r="K53" s="111"/>
      <c r="L53" s="112"/>
      <c r="M53" s="111"/>
      <c r="N53" s="112"/>
      <c r="O53" s="111"/>
      <c r="P53" s="191"/>
      <c r="Z53" s="78"/>
      <c r="AA53" s="95" t="s">
        <v>197</v>
      </c>
      <c r="AB53" s="51">
        <f t="shared" si="42"/>
        <v>0</v>
      </c>
      <c r="AC53" s="51">
        <f t="shared" si="43"/>
        <v>0</v>
      </c>
      <c r="AD53" s="51">
        <f t="shared" si="44"/>
        <v>0</v>
      </c>
      <c r="AE53" s="51">
        <f t="shared" si="45"/>
        <v>0</v>
      </c>
      <c r="AF53" s="51">
        <f t="shared" si="46"/>
        <v>0</v>
      </c>
      <c r="AG53" s="51">
        <f t="shared" si="47"/>
        <v>0</v>
      </c>
      <c r="AH53" s="51">
        <f t="shared" si="21"/>
        <v>0</v>
      </c>
      <c r="AI53" s="51">
        <f t="shared" si="22"/>
        <v>0</v>
      </c>
      <c r="AJ53" s="51">
        <f t="shared" si="23"/>
        <v>0</v>
      </c>
      <c r="AK53" s="51">
        <f t="shared" si="24"/>
        <v>0</v>
      </c>
      <c r="AL53" s="51">
        <f t="shared" si="25"/>
        <v>0</v>
      </c>
      <c r="AM53" s="51">
        <f t="shared" si="26"/>
        <v>0</v>
      </c>
      <c r="AN53" s="51">
        <f t="shared" si="27"/>
        <v>0</v>
      </c>
      <c r="AO53" s="51">
        <f t="shared" si="28"/>
        <v>0</v>
      </c>
      <c r="AP53" s="51">
        <f t="shared" si="29"/>
        <v>0</v>
      </c>
      <c r="AQ53" s="51">
        <f t="shared" si="30"/>
        <v>0</v>
      </c>
      <c r="AR53" s="51">
        <f t="shared" si="31"/>
        <v>0</v>
      </c>
      <c r="AS53" s="51">
        <f t="shared" si="32"/>
        <v>0</v>
      </c>
      <c r="AT53" s="51">
        <f t="shared" si="33"/>
        <v>0</v>
      </c>
      <c r="AU53" s="51">
        <f t="shared" si="34"/>
        <v>0</v>
      </c>
      <c r="AV53" s="51">
        <f t="shared" si="35"/>
        <v>0</v>
      </c>
      <c r="AW53" s="51">
        <f t="shared" si="36"/>
        <v>0</v>
      </c>
      <c r="AX53" s="51">
        <f t="shared" si="37"/>
        <v>0</v>
      </c>
      <c r="AY53" s="51">
        <f t="shared" si="38"/>
        <v>0</v>
      </c>
      <c r="AZ53" s="51">
        <f t="shared" si="39"/>
        <v>0</v>
      </c>
      <c r="BA53" s="51">
        <f t="shared" si="40"/>
        <v>0</v>
      </c>
      <c r="BB53" s="51">
        <f t="shared" si="41"/>
        <v>0</v>
      </c>
      <c r="BC53" s="51">
        <f t="shared" si="0"/>
        <v>0</v>
      </c>
      <c r="BD53" s="51">
        <f t="shared" si="1"/>
        <v>0</v>
      </c>
      <c r="BE53" s="51">
        <f t="shared" si="2"/>
        <v>0</v>
      </c>
      <c r="BF53" s="51">
        <f t="shared" si="3"/>
        <v>0</v>
      </c>
      <c r="BG53" s="51">
        <f t="shared" si="4"/>
        <v>0</v>
      </c>
      <c r="BH53" s="51">
        <f t="shared" si="5"/>
        <v>0</v>
      </c>
      <c r="BI53" s="51">
        <f t="shared" si="6"/>
        <v>0</v>
      </c>
      <c r="BJ53" s="51">
        <f t="shared" si="7"/>
        <v>0</v>
      </c>
      <c r="BK53" s="51">
        <f t="shared" si="8"/>
        <v>0</v>
      </c>
      <c r="BL53" s="51">
        <f t="shared" si="9"/>
        <v>0</v>
      </c>
      <c r="BM53" s="51">
        <f t="shared" si="10"/>
        <v>0</v>
      </c>
      <c r="BN53" s="51">
        <f t="shared" si="11"/>
        <v>0</v>
      </c>
      <c r="BO53" s="51">
        <f t="shared" si="12"/>
        <v>0</v>
      </c>
      <c r="BP53" s="51">
        <f t="shared" si="13"/>
        <v>0</v>
      </c>
      <c r="BQ53" s="51">
        <f t="shared" si="14"/>
        <v>0</v>
      </c>
    </row>
    <row r="54" spans="2:69" ht="14.25" hidden="1" customHeight="1" thickBot="1" x14ac:dyDescent="0.3">
      <c r="B54" s="91" t="s">
        <v>198</v>
      </c>
      <c r="C54" s="116"/>
      <c r="D54" s="112"/>
      <c r="E54" s="111"/>
      <c r="F54" s="112"/>
      <c r="G54" s="111"/>
      <c r="H54" s="112"/>
      <c r="I54" s="111"/>
      <c r="J54" s="112"/>
      <c r="K54" s="111"/>
      <c r="L54" s="112"/>
      <c r="M54" s="111"/>
      <c r="N54" s="112"/>
      <c r="O54" s="111"/>
      <c r="P54" s="191"/>
      <c r="Z54" s="78"/>
      <c r="AA54" s="95" t="s">
        <v>198</v>
      </c>
      <c r="AB54" s="51">
        <f t="shared" si="42"/>
        <v>0</v>
      </c>
      <c r="AC54" s="51">
        <f t="shared" si="43"/>
        <v>0</v>
      </c>
      <c r="AD54" s="51">
        <f t="shared" si="44"/>
        <v>0</v>
      </c>
      <c r="AE54" s="51">
        <f t="shared" si="45"/>
        <v>0</v>
      </c>
      <c r="AF54" s="51">
        <f t="shared" si="46"/>
        <v>0</v>
      </c>
      <c r="AG54" s="51">
        <f t="shared" si="47"/>
        <v>0</v>
      </c>
      <c r="AH54" s="51">
        <f t="shared" si="21"/>
        <v>0</v>
      </c>
      <c r="AI54" s="51">
        <f t="shared" si="22"/>
        <v>0</v>
      </c>
      <c r="AJ54" s="51">
        <f t="shared" si="23"/>
        <v>0</v>
      </c>
      <c r="AK54" s="51">
        <f t="shared" si="24"/>
        <v>0</v>
      </c>
      <c r="AL54" s="51">
        <f t="shared" si="25"/>
        <v>0</v>
      </c>
      <c r="AM54" s="51">
        <f t="shared" si="26"/>
        <v>0</v>
      </c>
      <c r="AN54" s="51">
        <f t="shared" si="27"/>
        <v>0</v>
      </c>
      <c r="AO54" s="51">
        <f t="shared" si="28"/>
        <v>0</v>
      </c>
      <c r="AP54" s="51">
        <f t="shared" si="29"/>
        <v>0</v>
      </c>
      <c r="AQ54" s="51">
        <f t="shared" si="30"/>
        <v>0</v>
      </c>
      <c r="AR54" s="51">
        <f t="shared" si="31"/>
        <v>0</v>
      </c>
      <c r="AS54" s="51">
        <f t="shared" si="32"/>
        <v>0</v>
      </c>
      <c r="AT54" s="51">
        <f t="shared" si="33"/>
        <v>0</v>
      </c>
      <c r="AU54" s="51">
        <f t="shared" si="34"/>
        <v>0</v>
      </c>
      <c r="AV54" s="51">
        <f t="shared" si="35"/>
        <v>0</v>
      </c>
      <c r="AW54" s="51">
        <f t="shared" si="36"/>
        <v>0</v>
      </c>
      <c r="AX54" s="51">
        <f t="shared" si="37"/>
        <v>0</v>
      </c>
      <c r="AY54" s="51">
        <f t="shared" si="38"/>
        <v>0</v>
      </c>
      <c r="AZ54" s="51">
        <f t="shared" si="39"/>
        <v>0</v>
      </c>
      <c r="BA54" s="51">
        <f t="shared" si="40"/>
        <v>0</v>
      </c>
      <c r="BB54" s="51">
        <f t="shared" si="41"/>
        <v>0</v>
      </c>
      <c r="BC54" s="51">
        <f t="shared" si="0"/>
        <v>0</v>
      </c>
      <c r="BD54" s="51">
        <f t="shared" si="1"/>
        <v>0</v>
      </c>
      <c r="BE54" s="51">
        <f t="shared" si="2"/>
        <v>0</v>
      </c>
      <c r="BF54" s="51">
        <f t="shared" si="3"/>
        <v>0</v>
      </c>
      <c r="BG54" s="51">
        <f t="shared" si="4"/>
        <v>0</v>
      </c>
      <c r="BH54" s="51">
        <f t="shared" si="5"/>
        <v>0</v>
      </c>
      <c r="BI54" s="51">
        <f t="shared" si="6"/>
        <v>0</v>
      </c>
      <c r="BJ54" s="51">
        <f t="shared" si="7"/>
        <v>0</v>
      </c>
      <c r="BK54" s="51">
        <f t="shared" si="8"/>
        <v>0</v>
      </c>
      <c r="BL54" s="51">
        <f t="shared" si="9"/>
        <v>0</v>
      </c>
      <c r="BM54" s="51">
        <f t="shared" si="10"/>
        <v>0</v>
      </c>
      <c r="BN54" s="51">
        <f t="shared" si="11"/>
        <v>0</v>
      </c>
      <c r="BO54" s="51">
        <f t="shared" si="12"/>
        <v>0</v>
      </c>
      <c r="BP54" s="51">
        <f t="shared" si="13"/>
        <v>0</v>
      </c>
      <c r="BQ54" s="51">
        <f t="shared" si="14"/>
        <v>0</v>
      </c>
    </row>
    <row r="55" spans="2:69" ht="14.25" hidden="1" customHeight="1" thickBot="1" x14ac:dyDescent="0.3">
      <c r="B55" s="91" t="s">
        <v>199</v>
      </c>
      <c r="C55" s="116"/>
      <c r="D55" s="112"/>
      <c r="E55" s="111"/>
      <c r="F55" s="112"/>
      <c r="G55" s="111"/>
      <c r="H55" s="112"/>
      <c r="I55" s="111"/>
      <c r="J55" s="112"/>
      <c r="K55" s="111"/>
      <c r="L55" s="112"/>
      <c r="M55" s="111"/>
      <c r="N55" s="112"/>
      <c r="O55" s="111"/>
      <c r="P55" s="191"/>
      <c r="Z55" s="78"/>
      <c r="AA55" s="95" t="s">
        <v>199</v>
      </c>
      <c r="AB55" s="51">
        <f t="shared" si="42"/>
        <v>0</v>
      </c>
      <c r="AC55" s="51">
        <f t="shared" si="43"/>
        <v>0</v>
      </c>
      <c r="AD55" s="51">
        <f t="shared" si="44"/>
        <v>0</v>
      </c>
      <c r="AE55" s="51">
        <f t="shared" si="45"/>
        <v>0</v>
      </c>
      <c r="AF55" s="51">
        <f t="shared" si="46"/>
        <v>0</v>
      </c>
      <c r="AG55" s="51">
        <f t="shared" si="47"/>
        <v>0</v>
      </c>
      <c r="AH55" s="51">
        <f t="shared" si="21"/>
        <v>0</v>
      </c>
      <c r="AI55" s="51">
        <f t="shared" si="22"/>
        <v>0</v>
      </c>
      <c r="AJ55" s="51">
        <f t="shared" si="23"/>
        <v>0</v>
      </c>
      <c r="AK55" s="51">
        <f t="shared" si="24"/>
        <v>0</v>
      </c>
      <c r="AL55" s="51">
        <f t="shared" si="25"/>
        <v>0</v>
      </c>
      <c r="AM55" s="51">
        <f t="shared" si="26"/>
        <v>0</v>
      </c>
      <c r="AN55" s="51">
        <f t="shared" si="27"/>
        <v>0</v>
      </c>
      <c r="AO55" s="51">
        <f t="shared" si="28"/>
        <v>0</v>
      </c>
      <c r="AP55" s="51">
        <f t="shared" si="29"/>
        <v>0</v>
      </c>
      <c r="AQ55" s="51">
        <f t="shared" si="30"/>
        <v>0</v>
      </c>
      <c r="AR55" s="51">
        <f t="shared" si="31"/>
        <v>0</v>
      </c>
      <c r="AS55" s="51">
        <f t="shared" si="32"/>
        <v>0</v>
      </c>
      <c r="AT55" s="51">
        <f t="shared" si="33"/>
        <v>0</v>
      </c>
      <c r="AU55" s="51">
        <f t="shared" si="34"/>
        <v>0</v>
      </c>
      <c r="AV55" s="51">
        <f t="shared" si="35"/>
        <v>0</v>
      </c>
      <c r="AW55" s="51">
        <f t="shared" si="36"/>
        <v>0</v>
      </c>
      <c r="AX55" s="51">
        <f t="shared" si="37"/>
        <v>0</v>
      </c>
      <c r="AY55" s="51">
        <f t="shared" si="38"/>
        <v>0</v>
      </c>
      <c r="AZ55" s="51">
        <f t="shared" si="39"/>
        <v>0</v>
      </c>
      <c r="BA55" s="51">
        <f t="shared" si="40"/>
        <v>0</v>
      </c>
      <c r="BB55" s="51">
        <f t="shared" si="41"/>
        <v>0</v>
      </c>
      <c r="BC55" s="51">
        <f t="shared" si="0"/>
        <v>0</v>
      </c>
      <c r="BD55" s="51">
        <f t="shared" si="1"/>
        <v>0</v>
      </c>
      <c r="BE55" s="51">
        <f t="shared" si="2"/>
        <v>0</v>
      </c>
      <c r="BF55" s="51">
        <f t="shared" si="3"/>
        <v>0</v>
      </c>
      <c r="BG55" s="51">
        <f t="shared" si="4"/>
        <v>0</v>
      </c>
      <c r="BH55" s="51">
        <f t="shared" si="5"/>
        <v>0</v>
      </c>
      <c r="BI55" s="51">
        <f t="shared" si="6"/>
        <v>0</v>
      </c>
      <c r="BJ55" s="51">
        <f t="shared" si="7"/>
        <v>0</v>
      </c>
      <c r="BK55" s="51">
        <f t="shared" si="8"/>
        <v>0</v>
      </c>
      <c r="BL55" s="51">
        <f t="shared" si="9"/>
        <v>0</v>
      </c>
      <c r="BM55" s="51">
        <f t="shared" si="10"/>
        <v>0</v>
      </c>
      <c r="BN55" s="51">
        <f t="shared" si="11"/>
        <v>0</v>
      </c>
      <c r="BO55" s="51">
        <f t="shared" si="12"/>
        <v>0</v>
      </c>
      <c r="BP55" s="51">
        <f t="shared" si="13"/>
        <v>0</v>
      </c>
      <c r="BQ55" s="51">
        <f t="shared" si="14"/>
        <v>0</v>
      </c>
    </row>
    <row r="56" spans="2:69" ht="14.25" hidden="1" customHeight="1" thickBot="1" x14ac:dyDescent="0.3">
      <c r="B56" s="91" t="s">
        <v>200</v>
      </c>
      <c r="C56" s="116"/>
      <c r="D56" s="112"/>
      <c r="E56" s="111"/>
      <c r="F56" s="112"/>
      <c r="G56" s="111"/>
      <c r="H56" s="112"/>
      <c r="I56" s="111"/>
      <c r="J56" s="112"/>
      <c r="K56" s="111"/>
      <c r="L56" s="112"/>
      <c r="M56" s="111"/>
      <c r="N56" s="112"/>
      <c r="O56" s="111"/>
      <c r="P56" s="191"/>
      <c r="Z56" s="78"/>
      <c r="AA56" s="95" t="s">
        <v>200</v>
      </c>
      <c r="AB56" s="51">
        <f t="shared" si="42"/>
        <v>0</v>
      </c>
      <c r="AC56" s="51">
        <f t="shared" si="43"/>
        <v>0</v>
      </c>
      <c r="AD56" s="51">
        <f t="shared" si="44"/>
        <v>0</v>
      </c>
      <c r="AE56" s="51">
        <f t="shared" si="45"/>
        <v>0</v>
      </c>
      <c r="AF56" s="51">
        <f t="shared" si="46"/>
        <v>0</v>
      </c>
      <c r="AG56" s="51">
        <f t="shared" si="47"/>
        <v>0</v>
      </c>
      <c r="AH56" s="51">
        <f t="shared" si="21"/>
        <v>0</v>
      </c>
      <c r="AI56" s="51">
        <f t="shared" si="22"/>
        <v>0</v>
      </c>
      <c r="AJ56" s="51">
        <f t="shared" si="23"/>
        <v>0</v>
      </c>
      <c r="AK56" s="51">
        <f t="shared" si="24"/>
        <v>0</v>
      </c>
      <c r="AL56" s="51">
        <f t="shared" si="25"/>
        <v>0</v>
      </c>
      <c r="AM56" s="51">
        <f t="shared" si="26"/>
        <v>0</v>
      </c>
      <c r="AN56" s="51">
        <f t="shared" si="27"/>
        <v>0</v>
      </c>
      <c r="AO56" s="51">
        <f t="shared" si="28"/>
        <v>0</v>
      </c>
      <c r="AP56" s="51">
        <f t="shared" si="29"/>
        <v>0</v>
      </c>
      <c r="AQ56" s="51">
        <f t="shared" si="30"/>
        <v>0</v>
      </c>
      <c r="AR56" s="51">
        <f t="shared" si="31"/>
        <v>0</v>
      </c>
      <c r="AS56" s="51">
        <f t="shared" si="32"/>
        <v>0</v>
      </c>
      <c r="AT56" s="51">
        <f t="shared" si="33"/>
        <v>0</v>
      </c>
      <c r="AU56" s="51">
        <f t="shared" si="34"/>
        <v>0</v>
      </c>
      <c r="AV56" s="51">
        <f t="shared" si="35"/>
        <v>0</v>
      </c>
      <c r="AW56" s="51">
        <f t="shared" si="36"/>
        <v>0</v>
      </c>
      <c r="AX56" s="51">
        <f t="shared" si="37"/>
        <v>0</v>
      </c>
      <c r="AY56" s="51">
        <f t="shared" si="38"/>
        <v>0</v>
      </c>
      <c r="AZ56" s="51">
        <f t="shared" si="39"/>
        <v>0</v>
      </c>
      <c r="BA56" s="51">
        <f t="shared" si="40"/>
        <v>0</v>
      </c>
      <c r="BB56" s="51">
        <f t="shared" si="41"/>
        <v>0</v>
      </c>
      <c r="BC56" s="51">
        <f t="shared" si="0"/>
        <v>0</v>
      </c>
      <c r="BD56" s="51">
        <f t="shared" si="1"/>
        <v>0</v>
      </c>
      <c r="BE56" s="51">
        <f t="shared" si="2"/>
        <v>0</v>
      </c>
      <c r="BF56" s="51">
        <f t="shared" si="3"/>
        <v>0</v>
      </c>
      <c r="BG56" s="51">
        <f t="shared" si="4"/>
        <v>0</v>
      </c>
      <c r="BH56" s="51">
        <f t="shared" si="5"/>
        <v>0</v>
      </c>
      <c r="BI56" s="51">
        <f t="shared" si="6"/>
        <v>0</v>
      </c>
      <c r="BJ56" s="51">
        <f t="shared" si="7"/>
        <v>0</v>
      </c>
      <c r="BK56" s="51">
        <f t="shared" si="8"/>
        <v>0</v>
      </c>
      <c r="BL56" s="51">
        <f t="shared" si="9"/>
        <v>0</v>
      </c>
      <c r="BM56" s="51">
        <f t="shared" si="10"/>
        <v>0</v>
      </c>
      <c r="BN56" s="51">
        <f t="shared" si="11"/>
        <v>0</v>
      </c>
      <c r="BO56" s="51">
        <f t="shared" si="12"/>
        <v>0</v>
      </c>
      <c r="BP56" s="51">
        <f t="shared" si="13"/>
        <v>0</v>
      </c>
      <c r="BQ56" s="51">
        <f t="shared" si="14"/>
        <v>0</v>
      </c>
    </row>
    <row r="57" spans="2:69" ht="14.25" hidden="1" customHeight="1" thickBot="1" x14ac:dyDescent="0.3">
      <c r="B57" s="91" t="s">
        <v>201</v>
      </c>
      <c r="C57" s="116"/>
      <c r="D57" s="112"/>
      <c r="E57" s="111"/>
      <c r="F57" s="112"/>
      <c r="G57" s="111"/>
      <c r="H57" s="112"/>
      <c r="I57" s="111"/>
      <c r="J57" s="112"/>
      <c r="K57" s="111"/>
      <c r="L57" s="112"/>
      <c r="M57" s="111"/>
      <c r="N57" s="112"/>
      <c r="O57" s="111"/>
      <c r="P57" s="191"/>
      <c r="Z57" s="78"/>
      <c r="AA57" s="95" t="s">
        <v>201</v>
      </c>
      <c r="AB57" s="51">
        <f t="shared" si="42"/>
        <v>0</v>
      </c>
      <c r="AC57" s="51">
        <f t="shared" si="43"/>
        <v>0</v>
      </c>
      <c r="AD57" s="51">
        <f t="shared" si="44"/>
        <v>0</v>
      </c>
      <c r="AE57" s="51">
        <f t="shared" si="45"/>
        <v>0</v>
      </c>
      <c r="AF57" s="51">
        <f t="shared" si="46"/>
        <v>0</v>
      </c>
      <c r="AG57" s="51">
        <f t="shared" si="47"/>
        <v>0</v>
      </c>
      <c r="AH57" s="51">
        <f t="shared" si="21"/>
        <v>0</v>
      </c>
      <c r="AI57" s="51">
        <f t="shared" si="22"/>
        <v>0</v>
      </c>
      <c r="AJ57" s="51">
        <f t="shared" si="23"/>
        <v>0</v>
      </c>
      <c r="AK57" s="51">
        <f t="shared" si="24"/>
        <v>0</v>
      </c>
      <c r="AL57" s="51">
        <f t="shared" si="25"/>
        <v>0</v>
      </c>
      <c r="AM57" s="51">
        <f t="shared" si="26"/>
        <v>0</v>
      </c>
      <c r="AN57" s="51">
        <f t="shared" si="27"/>
        <v>0</v>
      </c>
      <c r="AO57" s="51">
        <f t="shared" si="28"/>
        <v>0</v>
      </c>
      <c r="AP57" s="51">
        <f t="shared" si="29"/>
        <v>0</v>
      </c>
      <c r="AQ57" s="51">
        <f t="shared" si="30"/>
        <v>0</v>
      </c>
      <c r="AR57" s="51">
        <f t="shared" si="31"/>
        <v>0</v>
      </c>
      <c r="AS57" s="51">
        <f t="shared" si="32"/>
        <v>0</v>
      </c>
      <c r="AT57" s="51">
        <f t="shared" si="33"/>
        <v>0</v>
      </c>
      <c r="AU57" s="51">
        <f t="shared" si="34"/>
        <v>0</v>
      </c>
      <c r="AV57" s="51">
        <f t="shared" si="35"/>
        <v>0</v>
      </c>
      <c r="AW57" s="51">
        <f t="shared" si="36"/>
        <v>0</v>
      </c>
      <c r="AX57" s="51">
        <f t="shared" si="37"/>
        <v>0</v>
      </c>
      <c r="AY57" s="51">
        <f t="shared" si="38"/>
        <v>0</v>
      </c>
      <c r="AZ57" s="51">
        <f t="shared" si="39"/>
        <v>0</v>
      </c>
      <c r="BA57" s="51">
        <f t="shared" si="40"/>
        <v>0</v>
      </c>
      <c r="BB57" s="51">
        <f t="shared" si="41"/>
        <v>0</v>
      </c>
      <c r="BC57" s="51">
        <f t="shared" si="0"/>
        <v>0</v>
      </c>
      <c r="BD57" s="51">
        <f t="shared" si="1"/>
        <v>0</v>
      </c>
      <c r="BE57" s="51">
        <f t="shared" si="2"/>
        <v>0</v>
      </c>
      <c r="BF57" s="51">
        <f t="shared" si="3"/>
        <v>0</v>
      </c>
      <c r="BG57" s="51">
        <f t="shared" si="4"/>
        <v>0</v>
      </c>
      <c r="BH57" s="51">
        <f t="shared" si="5"/>
        <v>0</v>
      </c>
      <c r="BI57" s="51">
        <f t="shared" si="6"/>
        <v>0</v>
      </c>
      <c r="BJ57" s="51">
        <f t="shared" si="7"/>
        <v>0</v>
      </c>
      <c r="BK57" s="51">
        <f t="shared" si="8"/>
        <v>0</v>
      </c>
      <c r="BL57" s="51">
        <f t="shared" si="9"/>
        <v>0</v>
      </c>
      <c r="BM57" s="51">
        <f t="shared" si="10"/>
        <v>0</v>
      </c>
      <c r="BN57" s="51">
        <f t="shared" si="11"/>
        <v>0</v>
      </c>
      <c r="BO57" s="51">
        <f t="shared" si="12"/>
        <v>0</v>
      </c>
      <c r="BP57" s="51">
        <f t="shared" si="13"/>
        <v>0</v>
      </c>
      <c r="BQ57" s="51">
        <f t="shared" si="14"/>
        <v>0</v>
      </c>
    </row>
    <row r="58" spans="2:69" ht="14.25" hidden="1" customHeight="1" thickBot="1" x14ac:dyDescent="0.3">
      <c r="B58" s="91" t="s">
        <v>202</v>
      </c>
      <c r="C58" s="116"/>
      <c r="D58" s="112"/>
      <c r="E58" s="111"/>
      <c r="F58" s="112"/>
      <c r="G58" s="111"/>
      <c r="H58" s="112"/>
      <c r="I58" s="111"/>
      <c r="J58" s="112"/>
      <c r="K58" s="111"/>
      <c r="L58" s="112"/>
      <c r="M58" s="111"/>
      <c r="N58" s="112"/>
      <c r="O58" s="111"/>
      <c r="P58" s="191"/>
      <c r="Z58" s="78"/>
      <c r="AA58" s="95" t="s">
        <v>202</v>
      </c>
      <c r="AB58" s="51">
        <f t="shared" si="42"/>
        <v>0</v>
      </c>
      <c r="AC58" s="51">
        <f t="shared" si="43"/>
        <v>0</v>
      </c>
      <c r="AD58" s="51">
        <f t="shared" si="44"/>
        <v>0</v>
      </c>
      <c r="AE58" s="51">
        <f t="shared" si="45"/>
        <v>0</v>
      </c>
      <c r="AF58" s="51">
        <f t="shared" si="46"/>
        <v>0</v>
      </c>
      <c r="AG58" s="51">
        <f t="shared" si="47"/>
        <v>0</v>
      </c>
      <c r="AH58" s="51">
        <f t="shared" si="21"/>
        <v>0</v>
      </c>
      <c r="AI58" s="51">
        <f t="shared" si="22"/>
        <v>0</v>
      </c>
      <c r="AJ58" s="51">
        <f t="shared" si="23"/>
        <v>0</v>
      </c>
      <c r="AK58" s="51">
        <f t="shared" si="24"/>
        <v>0</v>
      </c>
      <c r="AL58" s="51">
        <f t="shared" si="25"/>
        <v>0</v>
      </c>
      <c r="AM58" s="51">
        <f t="shared" si="26"/>
        <v>0</v>
      </c>
      <c r="AN58" s="51">
        <f t="shared" si="27"/>
        <v>0</v>
      </c>
      <c r="AO58" s="51">
        <f t="shared" si="28"/>
        <v>0</v>
      </c>
      <c r="AP58" s="51">
        <f t="shared" si="29"/>
        <v>0</v>
      </c>
      <c r="AQ58" s="51">
        <f t="shared" si="30"/>
        <v>0</v>
      </c>
      <c r="AR58" s="51">
        <f t="shared" si="31"/>
        <v>0</v>
      </c>
      <c r="AS58" s="51">
        <f t="shared" si="32"/>
        <v>0</v>
      </c>
      <c r="AT58" s="51">
        <f t="shared" si="33"/>
        <v>0</v>
      </c>
      <c r="AU58" s="51">
        <f t="shared" si="34"/>
        <v>0</v>
      </c>
      <c r="AV58" s="51">
        <f t="shared" si="35"/>
        <v>0</v>
      </c>
      <c r="AW58" s="51">
        <f t="shared" si="36"/>
        <v>0</v>
      </c>
      <c r="AX58" s="51">
        <f t="shared" si="37"/>
        <v>0</v>
      </c>
      <c r="AY58" s="51">
        <f t="shared" si="38"/>
        <v>0</v>
      </c>
      <c r="AZ58" s="51">
        <f t="shared" si="39"/>
        <v>0</v>
      </c>
      <c r="BA58" s="51">
        <f t="shared" si="40"/>
        <v>0</v>
      </c>
      <c r="BB58" s="51">
        <f t="shared" si="41"/>
        <v>0</v>
      </c>
      <c r="BC58" s="51">
        <f t="shared" si="0"/>
        <v>0</v>
      </c>
      <c r="BD58" s="51">
        <f t="shared" si="1"/>
        <v>0</v>
      </c>
      <c r="BE58" s="51">
        <f t="shared" si="2"/>
        <v>0</v>
      </c>
      <c r="BF58" s="51">
        <f t="shared" si="3"/>
        <v>0</v>
      </c>
      <c r="BG58" s="51">
        <f t="shared" si="4"/>
        <v>0</v>
      </c>
      <c r="BH58" s="51">
        <f t="shared" si="5"/>
        <v>0</v>
      </c>
      <c r="BI58" s="51">
        <f t="shared" si="6"/>
        <v>0</v>
      </c>
      <c r="BJ58" s="51">
        <f t="shared" si="7"/>
        <v>0</v>
      </c>
      <c r="BK58" s="51">
        <f t="shared" si="8"/>
        <v>0</v>
      </c>
      <c r="BL58" s="51">
        <f t="shared" si="9"/>
        <v>0</v>
      </c>
      <c r="BM58" s="51">
        <f t="shared" si="10"/>
        <v>0</v>
      </c>
      <c r="BN58" s="51">
        <f t="shared" si="11"/>
        <v>0</v>
      </c>
      <c r="BO58" s="51">
        <f t="shared" si="12"/>
        <v>0</v>
      </c>
      <c r="BP58" s="51">
        <f t="shared" si="13"/>
        <v>0</v>
      </c>
      <c r="BQ58" s="51">
        <f t="shared" si="14"/>
        <v>0</v>
      </c>
    </row>
    <row r="59" spans="2:69" ht="14.25" hidden="1" customHeight="1" thickBot="1" x14ac:dyDescent="0.3">
      <c r="B59" s="91" t="s">
        <v>203</v>
      </c>
      <c r="C59" s="116"/>
      <c r="D59" s="112"/>
      <c r="E59" s="111"/>
      <c r="F59" s="112"/>
      <c r="G59" s="111"/>
      <c r="H59" s="112"/>
      <c r="I59" s="111"/>
      <c r="J59" s="112"/>
      <c r="K59" s="111"/>
      <c r="L59" s="112"/>
      <c r="M59" s="111"/>
      <c r="N59" s="112"/>
      <c r="O59" s="111"/>
      <c r="P59" s="191"/>
      <c r="Z59" s="78"/>
      <c r="AA59" s="95" t="s">
        <v>203</v>
      </c>
      <c r="AB59" s="51">
        <f t="shared" si="42"/>
        <v>0</v>
      </c>
      <c r="AC59" s="51">
        <f t="shared" si="43"/>
        <v>0</v>
      </c>
      <c r="AD59" s="51">
        <f t="shared" si="44"/>
        <v>0</v>
      </c>
      <c r="AE59" s="51">
        <f t="shared" si="45"/>
        <v>0</v>
      </c>
      <c r="AF59" s="51">
        <f t="shared" si="46"/>
        <v>0</v>
      </c>
      <c r="AG59" s="51">
        <f t="shared" si="47"/>
        <v>0</v>
      </c>
      <c r="AH59" s="51">
        <f t="shared" si="21"/>
        <v>0</v>
      </c>
      <c r="AI59" s="51">
        <f t="shared" si="22"/>
        <v>0</v>
      </c>
      <c r="AJ59" s="51">
        <f t="shared" si="23"/>
        <v>0</v>
      </c>
      <c r="AK59" s="51">
        <f t="shared" si="24"/>
        <v>0</v>
      </c>
      <c r="AL59" s="51">
        <f t="shared" si="25"/>
        <v>0</v>
      </c>
      <c r="AM59" s="51">
        <f t="shared" si="26"/>
        <v>0</v>
      </c>
      <c r="AN59" s="51">
        <f t="shared" si="27"/>
        <v>0</v>
      </c>
      <c r="AO59" s="51">
        <f t="shared" si="28"/>
        <v>0</v>
      </c>
      <c r="AP59" s="51">
        <f t="shared" si="29"/>
        <v>0</v>
      </c>
      <c r="AQ59" s="51">
        <f t="shared" si="30"/>
        <v>0</v>
      </c>
      <c r="AR59" s="51">
        <f t="shared" si="31"/>
        <v>0</v>
      </c>
      <c r="AS59" s="51">
        <f t="shared" si="32"/>
        <v>0</v>
      </c>
      <c r="AT59" s="51">
        <f t="shared" si="33"/>
        <v>0</v>
      </c>
      <c r="AU59" s="51">
        <f t="shared" si="34"/>
        <v>0</v>
      </c>
      <c r="AV59" s="51">
        <f t="shared" si="35"/>
        <v>0</v>
      </c>
      <c r="AW59" s="51">
        <f t="shared" si="36"/>
        <v>0</v>
      </c>
      <c r="AX59" s="51">
        <f t="shared" si="37"/>
        <v>0</v>
      </c>
      <c r="AY59" s="51">
        <f t="shared" si="38"/>
        <v>0</v>
      </c>
      <c r="AZ59" s="51">
        <f t="shared" si="39"/>
        <v>0</v>
      </c>
      <c r="BA59" s="51">
        <f t="shared" si="40"/>
        <v>0</v>
      </c>
      <c r="BB59" s="51">
        <f t="shared" si="41"/>
        <v>0</v>
      </c>
      <c r="BC59" s="51">
        <f t="shared" si="0"/>
        <v>0</v>
      </c>
      <c r="BD59" s="51">
        <f t="shared" si="1"/>
        <v>0</v>
      </c>
      <c r="BE59" s="51">
        <f t="shared" si="2"/>
        <v>0</v>
      </c>
      <c r="BF59" s="51">
        <f t="shared" si="3"/>
        <v>0</v>
      </c>
      <c r="BG59" s="51">
        <f t="shared" si="4"/>
        <v>0</v>
      </c>
      <c r="BH59" s="51">
        <f t="shared" si="5"/>
        <v>0</v>
      </c>
      <c r="BI59" s="51">
        <f t="shared" si="6"/>
        <v>0</v>
      </c>
      <c r="BJ59" s="51">
        <f t="shared" si="7"/>
        <v>0</v>
      </c>
      <c r="BK59" s="51">
        <f t="shared" si="8"/>
        <v>0</v>
      </c>
      <c r="BL59" s="51">
        <f t="shared" si="9"/>
        <v>0</v>
      </c>
      <c r="BM59" s="51">
        <f t="shared" si="10"/>
        <v>0</v>
      </c>
      <c r="BN59" s="51">
        <f t="shared" si="11"/>
        <v>0</v>
      </c>
      <c r="BO59" s="51">
        <f t="shared" si="12"/>
        <v>0</v>
      </c>
      <c r="BP59" s="51">
        <f t="shared" si="13"/>
        <v>0</v>
      </c>
      <c r="BQ59" s="51">
        <f t="shared" si="14"/>
        <v>0</v>
      </c>
    </row>
    <row r="60" spans="2:69" ht="14.25" hidden="1" customHeight="1" thickBot="1" x14ac:dyDescent="0.3">
      <c r="B60" s="91" t="s">
        <v>204</v>
      </c>
      <c r="C60" s="116"/>
      <c r="D60" s="112"/>
      <c r="E60" s="111"/>
      <c r="F60" s="112"/>
      <c r="G60" s="111"/>
      <c r="H60" s="112"/>
      <c r="I60" s="111"/>
      <c r="J60" s="112"/>
      <c r="K60" s="111"/>
      <c r="L60" s="112"/>
      <c r="M60" s="111"/>
      <c r="N60" s="112"/>
      <c r="O60" s="111"/>
      <c r="P60" s="191"/>
      <c r="Z60" s="78"/>
      <c r="AA60" s="95" t="s">
        <v>204</v>
      </c>
      <c r="AB60" s="51">
        <f t="shared" si="42"/>
        <v>0</v>
      </c>
      <c r="AC60" s="51">
        <f t="shared" si="43"/>
        <v>0</v>
      </c>
      <c r="AD60" s="51">
        <f t="shared" si="44"/>
        <v>0</v>
      </c>
      <c r="AE60" s="51">
        <f t="shared" si="45"/>
        <v>0</v>
      </c>
      <c r="AF60" s="51">
        <f t="shared" si="46"/>
        <v>0</v>
      </c>
      <c r="AG60" s="51">
        <f t="shared" si="47"/>
        <v>0</v>
      </c>
      <c r="AH60" s="51">
        <f t="shared" si="21"/>
        <v>0</v>
      </c>
      <c r="AI60" s="51">
        <f t="shared" si="22"/>
        <v>0</v>
      </c>
      <c r="AJ60" s="51">
        <f t="shared" si="23"/>
        <v>0</v>
      </c>
      <c r="AK60" s="51">
        <f t="shared" si="24"/>
        <v>0</v>
      </c>
      <c r="AL60" s="51">
        <f t="shared" si="25"/>
        <v>0</v>
      </c>
      <c r="AM60" s="51">
        <f t="shared" si="26"/>
        <v>0</v>
      </c>
      <c r="AN60" s="51">
        <f t="shared" si="27"/>
        <v>0</v>
      </c>
      <c r="AO60" s="51">
        <f t="shared" si="28"/>
        <v>0</v>
      </c>
      <c r="AP60" s="51">
        <f t="shared" si="29"/>
        <v>0</v>
      </c>
      <c r="AQ60" s="51">
        <f t="shared" si="30"/>
        <v>0</v>
      </c>
      <c r="AR60" s="51">
        <f t="shared" si="31"/>
        <v>0</v>
      </c>
      <c r="AS60" s="51">
        <f t="shared" si="32"/>
        <v>0</v>
      </c>
      <c r="AT60" s="51">
        <f t="shared" si="33"/>
        <v>0</v>
      </c>
      <c r="AU60" s="51">
        <f t="shared" si="34"/>
        <v>0</v>
      </c>
      <c r="AV60" s="51">
        <f t="shared" si="35"/>
        <v>0</v>
      </c>
      <c r="AW60" s="51">
        <f t="shared" si="36"/>
        <v>0</v>
      </c>
      <c r="AX60" s="51">
        <f t="shared" si="37"/>
        <v>0</v>
      </c>
      <c r="AY60" s="51">
        <f t="shared" si="38"/>
        <v>0</v>
      </c>
      <c r="AZ60" s="51">
        <f t="shared" si="39"/>
        <v>0</v>
      </c>
      <c r="BA60" s="51">
        <f t="shared" si="40"/>
        <v>0</v>
      </c>
      <c r="BB60" s="51">
        <f t="shared" si="41"/>
        <v>0</v>
      </c>
      <c r="BC60" s="51">
        <f t="shared" si="0"/>
        <v>0</v>
      </c>
      <c r="BD60" s="51">
        <f t="shared" si="1"/>
        <v>0</v>
      </c>
      <c r="BE60" s="51">
        <f t="shared" si="2"/>
        <v>0</v>
      </c>
      <c r="BF60" s="51">
        <f t="shared" si="3"/>
        <v>0</v>
      </c>
      <c r="BG60" s="51">
        <f t="shared" si="4"/>
        <v>0</v>
      </c>
      <c r="BH60" s="51">
        <f t="shared" si="5"/>
        <v>0</v>
      </c>
      <c r="BI60" s="51">
        <f t="shared" si="6"/>
        <v>0</v>
      </c>
      <c r="BJ60" s="51">
        <f t="shared" si="7"/>
        <v>0</v>
      </c>
      <c r="BK60" s="51">
        <f t="shared" si="8"/>
        <v>0</v>
      </c>
      <c r="BL60" s="51">
        <f t="shared" si="9"/>
        <v>0</v>
      </c>
      <c r="BM60" s="51">
        <f t="shared" si="10"/>
        <v>0</v>
      </c>
      <c r="BN60" s="51">
        <f t="shared" si="11"/>
        <v>0</v>
      </c>
      <c r="BO60" s="51">
        <f t="shared" si="12"/>
        <v>0</v>
      </c>
      <c r="BP60" s="51">
        <f t="shared" si="13"/>
        <v>0</v>
      </c>
      <c r="BQ60" s="51">
        <f t="shared" si="14"/>
        <v>0</v>
      </c>
    </row>
    <row r="61" spans="2:69" ht="14.25" hidden="1" customHeight="1" thickBot="1" x14ac:dyDescent="0.3">
      <c r="B61" s="91" t="s">
        <v>205</v>
      </c>
      <c r="C61" s="116"/>
      <c r="D61" s="112"/>
      <c r="E61" s="111"/>
      <c r="F61" s="112"/>
      <c r="G61" s="111"/>
      <c r="H61" s="112"/>
      <c r="I61" s="111"/>
      <c r="J61" s="112"/>
      <c r="K61" s="111"/>
      <c r="L61" s="112"/>
      <c r="M61" s="111"/>
      <c r="N61" s="112"/>
      <c r="O61" s="111"/>
      <c r="P61" s="191"/>
      <c r="Z61" s="78"/>
      <c r="AA61" s="95" t="s">
        <v>205</v>
      </c>
      <c r="AB61" s="51">
        <f t="shared" si="42"/>
        <v>0</v>
      </c>
      <c r="AC61" s="51">
        <f t="shared" si="43"/>
        <v>0</v>
      </c>
      <c r="AD61" s="51">
        <f t="shared" si="44"/>
        <v>0</v>
      </c>
      <c r="AE61" s="51">
        <f t="shared" si="45"/>
        <v>0</v>
      </c>
      <c r="AF61" s="51">
        <f t="shared" si="46"/>
        <v>0</v>
      </c>
      <c r="AG61" s="51">
        <f t="shared" si="47"/>
        <v>0</v>
      </c>
      <c r="AH61" s="51">
        <f t="shared" si="21"/>
        <v>0</v>
      </c>
      <c r="AI61" s="51">
        <f t="shared" si="22"/>
        <v>0</v>
      </c>
      <c r="AJ61" s="51">
        <f t="shared" si="23"/>
        <v>0</v>
      </c>
      <c r="AK61" s="51">
        <f t="shared" si="24"/>
        <v>0</v>
      </c>
      <c r="AL61" s="51">
        <f t="shared" si="25"/>
        <v>0</v>
      </c>
      <c r="AM61" s="51">
        <f t="shared" si="26"/>
        <v>0</v>
      </c>
      <c r="AN61" s="51">
        <f t="shared" si="27"/>
        <v>0</v>
      </c>
      <c r="AO61" s="51">
        <f t="shared" si="28"/>
        <v>0</v>
      </c>
      <c r="AP61" s="51">
        <f t="shared" si="29"/>
        <v>0</v>
      </c>
      <c r="AQ61" s="51">
        <f t="shared" si="30"/>
        <v>0</v>
      </c>
      <c r="AR61" s="51">
        <f t="shared" si="31"/>
        <v>0</v>
      </c>
      <c r="AS61" s="51">
        <f t="shared" si="32"/>
        <v>0</v>
      </c>
      <c r="AT61" s="51">
        <f t="shared" si="33"/>
        <v>0</v>
      </c>
      <c r="AU61" s="51">
        <f t="shared" si="34"/>
        <v>0</v>
      </c>
      <c r="AV61" s="51">
        <f t="shared" si="35"/>
        <v>0</v>
      </c>
      <c r="AW61" s="51">
        <f t="shared" si="36"/>
        <v>0</v>
      </c>
      <c r="AX61" s="51">
        <f t="shared" si="37"/>
        <v>0</v>
      </c>
      <c r="AY61" s="51">
        <f t="shared" si="38"/>
        <v>0</v>
      </c>
      <c r="AZ61" s="51">
        <f t="shared" si="39"/>
        <v>0</v>
      </c>
      <c r="BA61" s="51">
        <f t="shared" si="40"/>
        <v>0</v>
      </c>
      <c r="BB61" s="51">
        <f t="shared" si="41"/>
        <v>0</v>
      </c>
      <c r="BC61" s="51">
        <f t="shared" si="0"/>
        <v>0</v>
      </c>
      <c r="BD61" s="51">
        <f t="shared" si="1"/>
        <v>0</v>
      </c>
      <c r="BE61" s="51">
        <f t="shared" si="2"/>
        <v>0</v>
      </c>
      <c r="BF61" s="51">
        <f t="shared" si="3"/>
        <v>0</v>
      </c>
      <c r="BG61" s="51">
        <f t="shared" si="4"/>
        <v>0</v>
      </c>
      <c r="BH61" s="51">
        <f t="shared" si="5"/>
        <v>0</v>
      </c>
      <c r="BI61" s="51">
        <f t="shared" si="6"/>
        <v>0</v>
      </c>
      <c r="BJ61" s="51">
        <f t="shared" si="7"/>
        <v>0</v>
      </c>
      <c r="BK61" s="51">
        <f t="shared" si="8"/>
        <v>0</v>
      </c>
      <c r="BL61" s="51">
        <f t="shared" si="9"/>
        <v>0</v>
      </c>
      <c r="BM61" s="51">
        <f t="shared" si="10"/>
        <v>0</v>
      </c>
      <c r="BN61" s="51">
        <f t="shared" si="11"/>
        <v>0</v>
      </c>
      <c r="BO61" s="51">
        <f t="shared" si="12"/>
        <v>0</v>
      </c>
      <c r="BP61" s="51">
        <f t="shared" si="13"/>
        <v>0</v>
      </c>
      <c r="BQ61" s="51">
        <f t="shared" si="14"/>
        <v>0</v>
      </c>
    </row>
    <row r="62" spans="2:69" ht="14.25" hidden="1" customHeight="1" thickBot="1" x14ac:dyDescent="0.3">
      <c r="B62" s="91" t="s">
        <v>206</v>
      </c>
      <c r="C62" s="117"/>
      <c r="D62" s="118"/>
      <c r="E62" s="119"/>
      <c r="F62" s="118"/>
      <c r="G62" s="119"/>
      <c r="H62" s="118"/>
      <c r="I62" s="119"/>
      <c r="J62" s="118"/>
      <c r="K62" s="119"/>
      <c r="L62" s="118"/>
      <c r="M62" s="119"/>
      <c r="N62" s="118"/>
      <c r="O62" s="119"/>
      <c r="P62" s="192"/>
      <c r="Z62" s="78"/>
      <c r="AA62" s="95" t="s">
        <v>206</v>
      </c>
      <c r="AB62" s="51">
        <f t="shared" si="42"/>
        <v>0</v>
      </c>
      <c r="AC62" s="51">
        <f t="shared" si="43"/>
        <v>0</v>
      </c>
      <c r="AD62" s="51">
        <f t="shared" si="44"/>
        <v>0</v>
      </c>
      <c r="AE62" s="51">
        <f t="shared" si="45"/>
        <v>0</v>
      </c>
      <c r="AF62" s="51">
        <f t="shared" si="46"/>
        <v>0</v>
      </c>
      <c r="AG62" s="51">
        <f t="shared" si="47"/>
        <v>0</v>
      </c>
      <c r="AH62" s="51">
        <f t="shared" si="21"/>
        <v>0</v>
      </c>
      <c r="AI62" s="51">
        <f t="shared" si="22"/>
        <v>0</v>
      </c>
      <c r="AJ62" s="51">
        <f t="shared" si="23"/>
        <v>0</v>
      </c>
      <c r="AK62" s="51">
        <f t="shared" si="24"/>
        <v>0</v>
      </c>
      <c r="AL62" s="51">
        <f t="shared" si="25"/>
        <v>0</v>
      </c>
      <c r="AM62" s="51">
        <f t="shared" si="26"/>
        <v>0</v>
      </c>
      <c r="AN62" s="51">
        <f t="shared" si="27"/>
        <v>0</v>
      </c>
      <c r="AO62" s="51">
        <f t="shared" si="28"/>
        <v>0</v>
      </c>
      <c r="AP62" s="51">
        <f t="shared" si="29"/>
        <v>0</v>
      </c>
      <c r="AQ62" s="51">
        <f t="shared" si="30"/>
        <v>0</v>
      </c>
      <c r="AR62" s="51">
        <f t="shared" si="31"/>
        <v>0</v>
      </c>
      <c r="AS62" s="51">
        <f t="shared" si="32"/>
        <v>0</v>
      </c>
      <c r="AT62" s="51">
        <f t="shared" si="33"/>
        <v>0</v>
      </c>
      <c r="AU62" s="51">
        <f t="shared" si="34"/>
        <v>0</v>
      </c>
      <c r="AV62" s="51">
        <f t="shared" si="35"/>
        <v>0</v>
      </c>
      <c r="AW62" s="51">
        <f t="shared" si="36"/>
        <v>0</v>
      </c>
      <c r="AX62" s="51">
        <f t="shared" si="37"/>
        <v>0</v>
      </c>
      <c r="AY62" s="51">
        <f t="shared" si="38"/>
        <v>0</v>
      </c>
      <c r="AZ62" s="51">
        <f t="shared" si="39"/>
        <v>0</v>
      </c>
      <c r="BA62" s="51">
        <f t="shared" si="40"/>
        <v>0</v>
      </c>
      <c r="BB62" s="51">
        <f t="shared" si="41"/>
        <v>0</v>
      </c>
      <c r="BC62" s="51">
        <f t="shared" si="0"/>
        <v>0</v>
      </c>
      <c r="BD62" s="51">
        <f t="shared" si="1"/>
        <v>0</v>
      </c>
      <c r="BE62" s="51">
        <f t="shared" si="2"/>
        <v>0</v>
      </c>
      <c r="BF62" s="51">
        <f t="shared" si="3"/>
        <v>0</v>
      </c>
      <c r="BG62" s="51">
        <f t="shared" si="4"/>
        <v>0</v>
      </c>
      <c r="BH62" s="51">
        <f t="shared" si="5"/>
        <v>0</v>
      </c>
      <c r="BI62" s="51">
        <f t="shared" si="6"/>
        <v>0</v>
      </c>
      <c r="BJ62" s="51">
        <f t="shared" si="7"/>
        <v>0</v>
      </c>
      <c r="BK62" s="51">
        <f t="shared" si="8"/>
        <v>0</v>
      </c>
      <c r="BL62" s="51">
        <f t="shared" si="9"/>
        <v>0</v>
      </c>
      <c r="BM62" s="51">
        <f t="shared" si="10"/>
        <v>0</v>
      </c>
      <c r="BN62" s="51">
        <f t="shared" si="11"/>
        <v>0</v>
      </c>
      <c r="BO62" s="51">
        <f t="shared" si="12"/>
        <v>0</v>
      </c>
      <c r="BP62" s="51">
        <f t="shared" si="13"/>
        <v>0</v>
      </c>
      <c r="BQ62" s="51">
        <f t="shared" si="14"/>
        <v>0</v>
      </c>
    </row>
    <row r="63" spans="2:69" ht="14.25" customHeight="1" x14ac:dyDescent="0.25"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48"/>
      <c r="Q63" s="78"/>
      <c r="R63" s="78"/>
      <c r="S63" s="78"/>
      <c r="T63" s="78"/>
      <c r="U63" s="78"/>
      <c r="V63" s="78"/>
      <c r="W63" s="78"/>
    </row>
    <row r="64" spans="2:69" ht="14.25" customHeight="1" x14ac:dyDescent="0.25"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48"/>
      <c r="Q64" s="78"/>
      <c r="R64" s="78"/>
      <c r="S64" s="78"/>
      <c r="T64" s="78"/>
      <c r="U64" s="78"/>
      <c r="V64" s="78"/>
      <c r="W64" s="78"/>
    </row>
    <row r="65" spans="1:69" ht="16.5" customHeight="1" thickBot="1" x14ac:dyDescent="0.35">
      <c r="C65" s="282" t="s">
        <v>129</v>
      </c>
      <c r="D65" s="282"/>
      <c r="E65" s="282"/>
      <c r="F65" s="282"/>
      <c r="G65" s="282"/>
      <c r="H65" s="282"/>
      <c r="I65" s="282"/>
      <c r="J65" s="282"/>
      <c r="K65" s="282"/>
      <c r="L65" s="282"/>
      <c r="M65" s="282"/>
      <c r="N65" s="282"/>
      <c r="O65" s="282"/>
      <c r="P65" s="282"/>
      <c r="Q65" s="138"/>
      <c r="R65" s="138"/>
      <c r="S65" s="138"/>
      <c r="T65" s="138"/>
      <c r="U65" s="138"/>
      <c r="V65" s="138"/>
      <c r="W65" s="138"/>
      <c r="X65" s="78"/>
      <c r="Z65" s="281" t="s">
        <v>127</v>
      </c>
      <c r="AA65" s="281"/>
      <c r="AB65" s="280" t="s">
        <v>130</v>
      </c>
      <c r="AC65" s="280"/>
      <c r="AD65" s="280"/>
      <c r="AE65" s="280" t="s">
        <v>131</v>
      </c>
      <c r="AF65" s="280"/>
      <c r="AG65" s="280"/>
      <c r="AH65" s="280" t="s">
        <v>132</v>
      </c>
      <c r="AI65" s="280"/>
      <c r="AJ65" s="280"/>
      <c r="AK65" s="280" t="s">
        <v>133</v>
      </c>
      <c r="AL65" s="280"/>
      <c r="AM65" s="280"/>
      <c r="AN65" s="280" t="s">
        <v>134</v>
      </c>
      <c r="AO65" s="280"/>
      <c r="AP65" s="280"/>
      <c r="AQ65" s="280" t="s">
        <v>135</v>
      </c>
      <c r="AR65" s="280"/>
      <c r="AS65" s="280"/>
      <c r="AT65" s="280" t="s">
        <v>136</v>
      </c>
      <c r="AU65" s="280"/>
      <c r="AV65" s="280"/>
      <c r="AW65" s="280" t="s">
        <v>158</v>
      </c>
      <c r="AX65" s="280"/>
      <c r="AY65" s="280"/>
      <c r="AZ65" s="280" t="s">
        <v>159</v>
      </c>
      <c r="BA65" s="280"/>
      <c r="BB65" s="280"/>
      <c r="BC65" s="280" t="s">
        <v>160</v>
      </c>
      <c r="BD65" s="280"/>
      <c r="BE65" s="280"/>
      <c r="BF65" s="280" t="s">
        <v>161</v>
      </c>
      <c r="BG65" s="280"/>
      <c r="BH65" s="280"/>
      <c r="BI65" s="280" t="s">
        <v>162</v>
      </c>
      <c r="BJ65" s="280"/>
      <c r="BK65" s="280"/>
      <c r="BL65" s="280" t="s">
        <v>163</v>
      </c>
      <c r="BM65" s="280"/>
      <c r="BN65" s="280"/>
      <c r="BO65" s="280" t="s">
        <v>164</v>
      </c>
      <c r="BP65" s="280"/>
      <c r="BQ65" s="280"/>
    </row>
    <row r="66" spans="1:69" ht="14.25" customHeight="1" thickBot="1" x14ac:dyDescent="0.3">
      <c r="A66" s="106"/>
      <c r="C66" s="89">
        <v>1</v>
      </c>
      <c r="D66" s="89">
        <v>2</v>
      </c>
      <c r="E66" s="89">
        <v>3</v>
      </c>
      <c r="F66" s="89">
        <v>4</v>
      </c>
      <c r="G66" s="89">
        <v>5</v>
      </c>
      <c r="H66" s="89">
        <v>6</v>
      </c>
      <c r="I66" s="89">
        <v>7</v>
      </c>
      <c r="J66" s="89">
        <v>8</v>
      </c>
      <c r="K66" s="89">
        <v>9</v>
      </c>
      <c r="L66" s="89">
        <v>10</v>
      </c>
      <c r="M66" s="89">
        <v>11</v>
      </c>
      <c r="N66" s="89">
        <v>12</v>
      </c>
      <c r="O66" s="89">
        <v>13</v>
      </c>
      <c r="P66" s="53">
        <v>14</v>
      </c>
      <c r="Q66" s="80"/>
      <c r="R66" s="80"/>
      <c r="S66" s="80"/>
      <c r="T66" s="80"/>
      <c r="U66" s="80"/>
      <c r="V66" s="80"/>
      <c r="W66" s="80"/>
      <c r="X66" s="78"/>
      <c r="Z66" s="78"/>
      <c r="AA66" s="95" t="s">
        <v>69</v>
      </c>
      <c r="AB66" s="92" t="s">
        <v>105</v>
      </c>
      <c r="AC66" s="93" t="s">
        <v>106</v>
      </c>
      <c r="AD66" s="94" t="s">
        <v>32</v>
      </c>
      <c r="AE66" s="92" t="s">
        <v>105</v>
      </c>
      <c r="AF66" s="93" t="s">
        <v>106</v>
      </c>
      <c r="AG66" s="94" t="s">
        <v>32</v>
      </c>
      <c r="AH66" s="92" t="s">
        <v>105</v>
      </c>
      <c r="AI66" s="93" t="s">
        <v>106</v>
      </c>
      <c r="AJ66" s="94" t="s">
        <v>32</v>
      </c>
      <c r="AK66" s="92" t="s">
        <v>105</v>
      </c>
      <c r="AL66" s="93" t="s">
        <v>106</v>
      </c>
      <c r="AM66" s="94" t="s">
        <v>32</v>
      </c>
      <c r="AN66" s="92" t="s">
        <v>105</v>
      </c>
      <c r="AO66" s="93" t="s">
        <v>106</v>
      </c>
      <c r="AP66" s="94" t="s">
        <v>32</v>
      </c>
      <c r="AQ66" s="92" t="s">
        <v>105</v>
      </c>
      <c r="AR66" s="93" t="s">
        <v>106</v>
      </c>
      <c r="AS66" s="94" t="s">
        <v>32</v>
      </c>
      <c r="AT66" s="92" t="s">
        <v>105</v>
      </c>
      <c r="AU66" s="93" t="s">
        <v>106</v>
      </c>
      <c r="AV66" s="94" t="s">
        <v>32</v>
      </c>
      <c r="AW66" s="92" t="s">
        <v>105</v>
      </c>
      <c r="AX66" s="93" t="s">
        <v>106</v>
      </c>
      <c r="AY66" s="94" t="s">
        <v>32</v>
      </c>
      <c r="AZ66" s="92" t="s">
        <v>105</v>
      </c>
      <c r="BA66" s="93" t="s">
        <v>106</v>
      </c>
      <c r="BB66" s="94" t="s">
        <v>32</v>
      </c>
      <c r="BC66" s="92" t="s">
        <v>105</v>
      </c>
      <c r="BD66" s="93" t="s">
        <v>106</v>
      </c>
      <c r="BE66" s="94" t="s">
        <v>32</v>
      </c>
      <c r="BF66" s="92" t="s">
        <v>105</v>
      </c>
      <c r="BG66" s="93" t="s">
        <v>106</v>
      </c>
      <c r="BH66" s="94" t="s">
        <v>32</v>
      </c>
      <c r="BI66" s="92" t="s">
        <v>105</v>
      </c>
      <c r="BJ66" s="93" t="s">
        <v>106</v>
      </c>
      <c r="BK66" s="94" t="s">
        <v>32</v>
      </c>
      <c r="BL66" s="92" t="s">
        <v>105</v>
      </c>
      <c r="BM66" s="93" t="s">
        <v>106</v>
      </c>
      <c r="BN66" s="94" t="s">
        <v>32</v>
      </c>
      <c r="BO66" s="92" t="s">
        <v>105</v>
      </c>
      <c r="BP66" s="93" t="s">
        <v>106</v>
      </c>
      <c r="BQ66" s="94" t="s">
        <v>32</v>
      </c>
    </row>
    <row r="67" spans="1:69" ht="14.25" customHeight="1" thickBot="1" x14ac:dyDescent="0.3">
      <c r="A67" s="106"/>
      <c r="B67" s="90" t="s">
        <v>93</v>
      </c>
      <c r="C67" s="113" t="s">
        <v>130</v>
      </c>
      <c r="D67" s="114" t="s">
        <v>131</v>
      </c>
      <c r="E67" s="115" t="s">
        <v>132</v>
      </c>
      <c r="F67" s="114" t="s">
        <v>133</v>
      </c>
      <c r="G67" s="115" t="s">
        <v>159</v>
      </c>
      <c r="H67" s="114" t="s">
        <v>160</v>
      </c>
      <c r="I67" s="115"/>
      <c r="J67" s="114"/>
      <c r="K67" s="115"/>
      <c r="L67" s="114"/>
      <c r="M67" s="115"/>
      <c r="N67" s="114"/>
      <c r="O67" s="115"/>
      <c r="P67" s="190"/>
      <c r="Q67" s="80"/>
      <c r="R67" s="80"/>
      <c r="S67" s="80"/>
      <c r="T67" s="80"/>
      <c r="U67" s="80"/>
      <c r="V67" s="80"/>
      <c r="W67" s="80"/>
      <c r="X67" s="78"/>
      <c r="Z67" s="66"/>
      <c r="AA67" s="95" t="s">
        <v>93</v>
      </c>
      <c r="AB67" s="51">
        <f>SUM(IF(C67="R1",AB21,0)+IF(D67="R1",AE21,0)+IF(E67="R1",AH21,0)+IF(F67="R1",AK21,0)+IF(G67="R1",AN21,0)+IF(H67="R1",AQ21,0)+IF(I67="R1",AT21,0)+IF(J67="R1",AW21,0)+IF(K67="R1",AZ21,0)+IF(L67="R1",BC21,0)+IF(M67="R1",BF21,0)+IF(N67="R1",BI21,0)+IF(O67="R1",BL21,0)+IF(P67="R1",BO21,0))</f>
        <v>7.4</v>
      </c>
      <c r="AC67" s="51">
        <f>SUM(IF(C67="R1",AC21,0)+IF(D67="R1",AF21,0)+IF(E67="R1",AI21,0)+IF(F67="R1",AL21,0)+IF(G67="R1",AO21,0)+IF(H67="R1",AR21,0)+IF(I67="R1",AU21,0)+IF(J67="R1",AX21,0)+IF(K67="R1",BA21,0)+IF(L67="R1",BD21,0)+IF(M67="R1",BG21,0)+IF(N67="R1",BJ21,0)+IF(O67="R1",BM21,0)+IF(P67="R1",BP21,0))</f>
        <v>6.4</v>
      </c>
      <c r="AD67" s="51">
        <f>SUM(IF(C67="R1",AD21,0)+IF(D67="R1",AG21,0)+IF(E67="R1",AJ21,0)+IF(F67="R1",AM21,0)+IF(G67="R1",AP21,0)+IF(H67="R1",AS21,0)+IF(I67="R1",AV21,0)+IF(J67="R1",AY21,0)+IF(K67="R1",BB21,0)+IF(L67="R1",BE21,0)+IF(M67="R1",BH21,0)+IF(N67="R1",BK21,0)+IF(O67="R1",BN21,0)+IF(P67="R1",BQ21,0))</f>
        <v>11.4</v>
      </c>
      <c r="AE67" s="51">
        <f>SUM(IF(C67="R2",AB21,0)+IF(D67="R2",AE21,0)+IF(E67="R2",AH21,0)+IF(F67="R2",AK21,0)+IF(G67="R2",AN21,0)+IF(H67="R2",AQ21,0)+IF(I67="R2",AT21,0)+IF(J67="R2",AW21,0)+IF(K67="R2",AZ21,0)+IF(L67="R2",BC21,0)+IF(M67="R2",BF21,0)+IF(N67="R2",BI21,0)+IF(O67="R2",BL21,0)+IF(P67="R2",BO21,0))</f>
        <v>4.7</v>
      </c>
      <c r="AF67" s="51">
        <f>SUM(IF(C67="R2",AC21,0)+IF(D67="R2",AF21,0)+IF(E67="R2",AI21,0)+IF(F67="R2",AL21,0)+IF(G67="R2",AO21,0)+IF(H67="R2",AR21,0)+IF(I67="R2",AU21,0)+IF(J67="R2",AX21,0)+IF(K67="R2",BA21,0)+IF(L67="R2",BD21,0)+IF(M67="R2",BG21,0)+IF(N67="R2",BJ21,0)+IF(O67="R2",BM21,0)+IF(P67="R2",BP21,0))</f>
        <v>4.9000000000000004</v>
      </c>
      <c r="AG67" s="51">
        <f>SUM(IF(C67="R2",AD21,0)+IF(D67="R2",AG21,0)+IF(E67="R2",AJ21,0)+IF(F67="R2",AM21,0)+IF(G67="R2",AP21,0)+IF(H67="R2",AS21,0)+IF(I67="R2",AV21,0)+IF(J67="R2",AY21,0)+IF(K67="R2",BB21,0)+IF(L67="R2",BE21,0)+IF(M67="R2",BH21,0)+IF(N67="R2",BK21,0)+IF(O67="R2",BN21,0)+IF(P67="R2",BQ21,0))</f>
        <v>7.8000000000000007</v>
      </c>
      <c r="AH67" s="51">
        <f>SUM(IF(C67="R3",AB21,0)+IF(D67="R3",AE21,0)+IF(E67="R3",AH21,0)+IF(F67="R3",AK21,0)+IF(G67="R3",AN21,0)+IF(H67="R3",AQ21,0)+IF(I67="R3",AT21,0)+IF(J67="R3",AW21,0)+IF(K67="R3",AZ21,0)+IF(L67="R3",BC21,0)+IF(M67="R3",BF21,0)+IF(N67="R3",BI21,0)+IF(O67="R3",BL21,0)+IF(P67="R3",BO21,0))</f>
        <v>4.7</v>
      </c>
      <c r="AI67" s="51">
        <f>SUM(IF(C67="R3",AC21,0)+IF(D67="R3",AF21,0)+IF(E67="R3",AI21,0)+IF(F67="R3",AL21,0)+IF(G67="R3",AO21,0)+IF(H67="R3",AR21,0)+IF(I67="R3",AU21,0)+IF(J67="R3",AX21,0)+IF(K67="R3",BA21,0)+IF(L67="R3",BD21,0)+IF(M67="R3",BG21,0)+IF(N67="R3",BJ21,0)+IF(O67="R3",BM21,0)+IF(P67="R3",BP21,0))</f>
        <v>4.9000000000000004</v>
      </c>
      <c r="AJ67" s="51">
        <f>SUM(IF(C67="R3",AD21,0)+IF(D67="R3",AG21,0)+IF(E67="R3",AJ21,0)+IF(F67="R3",AM21,0)+IF(G67="R3",AP21,0)+IF(H67="R3",AS21,0)+IF(I67="R3",AV21,0)+IF(J67="R3",AY21,0)+IF(K67="R3",BB21,0)+IF(L67="R3",BE21,0)+IF(M67="R3",BH21,0)+IF(N67="R3",BK21,0)+IF(O67="R3",BN21,0)+IF(P67="R3",BQ21,0))</f>
        <v>7.8000000000000007</v>
      </c>
      <c r="AK67" s="51">
        <f>SUM(IF(C67="R4",AB21,0)+IF(D67="R4",AE21,0)+IF(E67="R4",AH21,0)+IF(F67="R4",AK21,0)+IF(G67="R4",AN21,0)+IF(H67="R4",AQ21,0)+IF(I67="R4",AT21,0)+IF(J67="R4",AW21,0)+IF(K67="R4",AZ21,0)+IF(L67="R4",BC21,0)+IF(M67="R4",BF21,0)+IF(N67="R4",BI21,0)+IF(O67="R4",BL21,0)+IF(P67="R4",BO21,0))</f>
        <v>4.7</v>
      </c>
      <c r="AL67" s="51">
        <f>SUM(IF(C67="R4",AC21,0)+IF(D67="R4",AF21,0)+IF(E67="R4",AI21,0)+IF(F67="R4",AL21,0)+IF(G67="R4",AO21,0)+IF(H67="R4",AR21,0)+IF(I67="R4",AU21,0)+IF(J67="R4",AX21,0)+IF(K67="R4",BA21,0)+IF(L67="R4",BD21,0)+IF(M67="R4",BG21,0)+IF(N67="R4",BJ21,0)+IF(O67="R4",BM21,0)+IF(P67="R4",BP21,0))</f>
        <v>4.9000000000000004</v>
      </c>
      <c r="AM67" s="51">
        <f>SUM(IF(C67="R4",AD21,0)+IF(D67="R4",AG21,0)+IF(E67="R4",AJ21,0)+IF(F67="R4",AM21,0)+IF(G67="R4",AP21,0)+IF(H67="R4",AS21,0)+IF(I67="R4",AV21,0)+IF(J67="R4",AY21,0)+IF(K67="R4",BB21,0)+IF(L67="R4",BE21,0)+IF(M67="R4",BH21,0)+IF(N67="R4",BK21,0)+IF(O67="R4",BN21,0)+IF(P67="R4",BQ21,0))</f>
        <v>7.8000000000000007</v>
      </c>
      <c r="AN67" s="51">
        <f>SUM(IF(C67="R5",AB21,0)+IF(D67="R5",AE21,0)+IF(E67="R5",AH21,0)+IF(F67="R5",AK21,0)+IF(G67="R5",AN21,0)+IF(H67="R5",AQ21,0)+IF(I67="R5",AT21,0)+IF(J67="R5",AW21,0)+IF(K67="R5",AZ21,0)+IF(L67="R5",BC21,0)+IF(M67="R5",BF21,0)+IF(N67="R5",BI21,0)+IF(O67="R5",BL21,0)+IF(P67="R5",BO21,0))</f>
        <v>0</v>
      </c>
      <c r="AO67" s="51">
        <f>SUM(IF(C67="R5",AC21,0)+IF(D67="R5",AF21,0)+IF(E67="R5",AI21,0)+IF(F67="R5",AL21,0)+IF(G67="R5",AO21,0)+IF(H67="R5",AR21,0)+IF(I67="R5",AU21,0)+IF(J67="R5",AX21,0)+IF(K67="R5",BA21,0)+IF(L67="R5",BD21,0)+IF(M67="R5",BG21,0)+IF(N67="R5",BJ21,0)+IF(O67="R5",BM21,0)+IF(P67="R5",BP21,0))</f>
        <v>0</v>
      </c>
      <c r="AP67" s="51">
        <f>SUM(IF(C67="R5",AD21,0)+IF(D67="R5",AG21,0)+IF(E67="R5",AJ21,0)+IF(F67="R5",AM21,0)+IF(G67="R5",AP21,0)+IF(H67="R5",AS21,0)+IF(I67="R5",AV21,0)+IF(J67="R5",AY21,0)+IF(K67="R5",BB21,0)+IF(L67="R5",BE21,0)+IF(M67="R5",BH21,0)+IF(N67="R5",BK21,0)+IF(O67="R5",BN21,0)+IF(P67="R5",BQ21,0))</f>
        <v>0</v>
      </c>
      <c r="AQ67" s="51">
        <f>SUM(IF(C67="R6",AB21,0)+IF(D67="R6",AE21,0)+IF(E67="R6",AH21,0)+IF(F67="R6",AK21,0)+IF(G67="R6",AN21,0)+IF(H67="R6",AQ21,0)+IF(I67="R6",AT21,0)+IF(J67="R6",AW21,0)+IF(K67="R6",AZ21,0)+IF(L67="R6",BC21,0)+IF(M67="R6",BF21,0)+IF(N67="R6",BI21,0)+IF(O67="R6",BL21,0)+IF(P67="R6",BO21,0))</f>
        <v>0</v>
      </c>
      <c r="AR67" s="51">
        <f>SUM(IF(C67="R6",AC21,0)+IF(D67="R6",AF21,0)+IF(E67="R6",AI21,0)+IF(F67="R6",AL21,0)+IF(G67="R6",AO21,0)+IF(H67="R6",AR21,0)+IF(I67="R6",AU21,0)+IF(J67="R6",AX21,0)+IF(K67="R6",BA21,0)+IF(L67="R6",BD21,0)+IF(M67="R5",BG21,0)+IF(N67="R5",BJ21,0)+IF(O67="R5",BM21,0)+IF(P67="R5",BP21,0))</f>
        <v>0</v>
      </c>
      <c r="AS67" s="51">
        <f>SUM(IF(C67="R6",AD21,0)+IF(D67="R6",AG21,0)+IF(E67="R6",AJ21,0)+IF(F67="R6",AM21,0)+IF(G67="R6",AP21,0)+IF(H67="R6",AS21,0)+IF(I67="R6",AV21,0)+IF(J67="R6",AY21,0)+IF(K67="R6",BB21,0)+IF(L67="R6",BE21,0)+IF(M67="R6",BH21,0)+IF(N67="R6",BK21,0)+IF(O67="R6",BN21,0)+IF(P67="R6",BQ21,0))</f>
        <v>0</v>
      </c>
      <c r="AT67" s="51">
        <f>SUM(IF(C67="R7",AB21,0)+IF(D67="R7",AE21,0)+IF(E67="R7",AH21,0)+IF(F67="R7",AK21,0)+IF(G67="R7",AN21,0)+IF(H67="R7",AQ21,0)+IF(I67="R7",AT21,0)+IF(J67="R7",AW21,0)+IF(K67="R7",AZ21,0)+IF(L67="R7",BC21,0)+IF(M67="R7",BF21,0)+IF(N67="R7",BI21,0)+IF(O67="R7",BL21,0)+IF(P67="R7",BO21,0))</f>
        <v>0</v>
      </c>
      <c r="AU67" s="51">
        <f>SUM(IF(C67="R7",AC21,0)+IF(D67="R7",AF21,0)+IF(E67="R7",AI21,0)+IF(F67="R7",AL21,0)+IF(G67="R7",AO21,0)+IF(H67="R7",AR21,0)+IF(I67="R7",AU21,0)+IF(J67="R7",AX21,0)+IF(K67="R7",BA21,0)+IF(L67="R7",BD21,0)+IF(M67="R7",BG21,0)+IF(N67="R7",BJ21,0)+IF(O67="R7",BM21,0)+IF(P67="R7",BP21,0))</f>
        <v>0</v>
      </c>
      <c r="AV67" s="51">
        <f>SUM(IF(C67="R7",AD21,0)+IF(D67="R7",AG21,0)+IF(E67="R7",AJ21,0)+IF(F67="R7",AM21,0)+IF(G67="R7",AP21,0)+IF(H67="R7",AS21,0)+IF(I67="R7",AV21,0)+IF(J67="R7",AY21,0)+IF(K67="R7",BB21,0)+IF(L67="R7",BE21,0)+IF(M67="R7",BH21,0)+IF(N67="R7",BK21,0)+IF(O67="R7",BN21,0)+IF(P67="R7",BQ21,0))</f>
        <v>0</v>
      </c>
      <c r="AW67" s="51">
        <f>SUM(IF(C67="R8",AB21,0)+IF(D67="R8",AE21,0)+IF(E67="R8",AH21,0)+IF(F67="R8",AK21,0)+IF(G67="R8",AN21,0)+IF(H67="R8",AQ21,0)+IF(I67="R8",AT21,0)+IF(J67="R8",AW21,0)+IF(K67="R8",AZ21,0)+IF(L67="R8",BC21,0)+IF(M67="R8",BF21,0)+IF(N67="R8",BI21,0)+IF(O67="R8",BL21,0)+IF(P67="R8",BO21,0))</f>
        <v>0</v>
      </c>
      <c r="AX67" s="51">
        <f>SUM(IF(C67="R8",AC21,0)+IF(D67="R8",AF21,0)+IF(E67="R8",AI21,0)+IF(F67="R8",AL21,0)+IF(G67="R8",AO21,0)+IF(H67="R8",AR21,0)+IF(I67="R8",AU21,0)+IF(J67="R8",AX21,0)+IF(K67="R8",BA21,0)+IF(L67="R8",BD21,0)+IF(M67="R8",BG21,0)+IF(N67="R8",BJ21,0)+IF(O67="R8",BM21,0)+IF(P67="R8",BP21,0))</f>
        <v>0</v>
      </c>
      <c r="AY67" s="51">
        <f>SUM(IF(C67="R8",AD21,0)+IF(D67="R8",AG21,0)+IF(E67="R8",AJ21,0)+IF(F67="R8",AM21,0)+IF(G67="R8",AP21,0)+IF(H67="R8",AS21,0)+IF(I67="R8",AV21,0)+IF(J67="R8",AY21,0)+IF(K67="R8",BB21,0)+IF(L67="R8",BE21,0)+IF(M67="R8",BH21,0)+IF(N67="R8",BK21,0)+IF(O67="R8",BN21,0)+IF(P67="R8",BQ21,0))</f>
        <v>0</v>
      </c>
      <c r="AZ67" s="51">
        <f>SUM(IF(C67="R9",AB21,0)+IF(D67="R9",AE21,0)+IF(E67="R9",AH21,0)+IF(F67="R9",AK21,0)+IF(G67="R9",AN21,0)+IF(H67="R9",AQ21,0)+IF(I67="R9",AT21,0)+IF(J67="R9",AW21,0)+IF(K67="R9",AZ21,0)+IF(L67="R9",BC21,0)+IF(M67="R9",BF21,0)+IF(N67="R9",BI21,0)+IF(O67="R9",BL21,0)+IF(P67="R9",BO21,0))</f>
        <v>4.7</v>
      </c>
      <c r="BA67" s="51">
        <f>SUM(IF(C67="R9",AC21,0)+IF(D67="R9",AF21,0)+IF(E67="R9",AI21,0)+IF(F67="R9",AL21,0)+IF(G67="R9",AO21,0)+IF(H67="R9",AR21,0)+IF(I67="R9",AU21,0)+IF(J67="R9",AX21,0)+IF(K67="R9",BA21,0)+IF(L67="R9",BD21,0)+IF(M67="R9",BG21,0)+IF(N67="R9",BJ21,0)+IF(O67="R9",BM21,0)+IF(P67="R9",BP21,0))</f>
        <v>4.9000000000000004</v>
      </c>
      <c r="BB67" s="51">
        <f>SUM(IF(C67="R9",AD21,0)+IF(D67="R9",AG21,0)+IF(E67="R9",AJ21,0)+IF(F67="R9",AM21,0)+IF(G67="R9",AP21,0)+IF(H67="R9",AS21,0)+IF(I67="R9",AV21,0)+IF(J67="R9",AY21,0)+IF(K67="R9",BB21,0)+IF(L67="R9",BE21,0)+IF(M67="R9",BH21,0)+IF(N67="R9",BK21,0)+IF(O67="R9",BN21,0)+IF(P67="R9",BQ21,0))</f>
        <v>7.8000000000000007</v>
      </c>
      <c r="BC67" s="51">
        <f>SUM(IF(C67="R10",AB21,0)+IF(D67="R10",AE21,0)+IF(E67="R10",AH21,0)+IF(F67="R10",AK21,0)+IF(G67="R10",AN21,0)+IF(H67="R10",AQ21,0)+IF(I67="R10",AT21,0)+IF(J67="R10",AW21,0)+IF(K67="R10",AZ21,0)+IF(L67="R10",BC21,0)+IF(M67="R10",BF21,0)+IF(N67="R10",BI21,0)+IF(O67="R10",BL21,0)+IF(P67="R10",BO21,0))</f>
        <v>7.4</v>
      </c>
      <c r="BD67" s="51">
        <f>SUM(IF(C67="R10",AC21,0)+IF(D67="R10",AF21,0)+IF(E67="R10",AI21,0)+IF(F67="R10",AL21,0)+IF(G67="R10",AO21,0)+IF(H67="R10",AR21,0)+IF(I67="R10",AU21,0)+IF(J67="R10",AX21,0)+IF(K67="R10",BA21,0)+IF(L67="R10",BD21,0)+IF(M67="R10",BG21,0)+IF(N67="R10",BJ21,0)+IF(O67="R11",BM21,0)+IF(P67="R11",BP21,0))</f>
        <v>6.4</v>
      </c>
      <c r="BE67" s="51">
        <f>SUM(IF(C67="R10",AD21,0)+IF(D67="R10",AG21,0)+IF(E67="R10",AJ21,0)+IF(F67="R10",AM21,0)+IF(G67="R10",AP21,0)+IF(H67="R10",AS21,0)+IF(I67="R10",AV21,0)+IF(J67="R10",AY21,0)+IF(K67="R10",BB21,0)+IF(L67="R10",BE21,0)+IF(M67="R10",BH21,0)+IF(N67="R10",BJ21,0)+IF(O67="R10",BM21,0)+IF(P67="R10",BP21,0))</f>
        <v>11.4</v>
      </c>
      <c r="BF67" s="51">
        <f>SUM(IF(C67="R11",AB21,0)+IF(D67="R11",AE21,0)+IF(E67="R11",AH21,0)+IF(F67="R11",AK21,0)+IF(G67="R11",AN21,0)+IF(H67="R11",AQ21,0)+IF(I67="R11",AT21,0)+IF(J67="R11",AW21,0)+IF(K67="R11",AZ21,0)+IF(L67="R11",BC21,0)+IF(M67="R11",BF21,0)+IF(N67="R11",BI21,0)+IF(O67="R11",BL21,0)+IF(P67="R11",BO21,0))</f>
        <v>0</v>
      </c>
      <c r="BG67" s="51">
        <f>SUM(IF(L67="R11",AL21,0)+IF(M67="R11",AO21,0)+IF(N67="R11",AR21,0)+IF(O67="R11",AU21,0)+IF(P67="R11",AX21,0)+IF(Q67="R11",BA21,0)+IF(R67="R11",BD21,0)+IF(J67="R11",AX21,0)+IF(K67="R11",BA21,0)+IF(L67="R11",BD21,0)+IF(M67="R11",BG21,0)+IF(N67="R11",BJ21,0)+IF(O67="R11",BM21,0)+IF(P67="R11",BP21,0))</f>
        <v>0</v>
      </c>
      <c r="BH67" s="51">
        <f>SUM(IF(C67="R11",AD21,0)+IF(D67="R11",AG21,0)+IF(E67="R11",AJ21,0)+IF(F67="R11",AM21,0)+IF(G67="R11",AP21,0)+IF(H67="R11",AS21,0)+IF(I67="R11",AV21,0)+IF(J67="R11",AY21,0)+IF(K67="R11",BB21,0)+IF(L67="R11",BE21,0)+IF(M67="R11",BH21,0)+IF(N67="R11",BK21,0)+IF(O67="R11",BN21,0)+IF(P67="R11",BQ21,0))</f>
        <v>0</v>
      </c>
      <c r="BI67" s="51">
        <f>SUM(IF(C67="R12",AB21,0)+IF(D67="R12",AE21,0)+IF(E67="R12",AH21,0)+IF(F67="R12",AK21,0)+IF(G67="R12",AN21,0)+IF(H67="R12",AQ21,0)+IF(I67="R12",AT21,0)+IF(J67="R12",AW21,0)+IF(K67="R12",AZ21,0)+IF(L67="R12",BC21,0)+IF(M67="R12",BF21,0)+IF(N67="R12",BI21,0)+IF(O67="R12",BL21,0)+IF(P67="R12",BO21,0))</f>
        <v>0</v>
      </c>
      <c r="BJ67" s="51">
        <f>SUM(IF(C67="R12",AC21,0)+IF(D67="R12",AF21,0)+IF(E67="R12",AI21,0)+IF(F67="R12",AL21,0)+IF(G67="R12",AO21,0)+IF(H67="R12",AR21,0)+IF(I67="R12",AU21,0)+IF(J67="R12",AX21,0)+IF(K67="R12",BA21,0)+IF(L67="R12",BD21,0)+IF(M67="R12",BG21,0)+IF(N67="R12",BJ21,0)+IF(O67="R12",BM21,0)+IF(P67="R12",BP21,0))</f>
        <v>0</v>
      </c>
      <c r="BK67" s="51">
        <f>SUM(IF(C67="R12",AD21,0)+IF(D67="R12",AG21,0)+IF(E67="R12",AJ21,0)+IF(F67="R12",AM21,0)+IF(G67="R12",AP21,0)+IF(H67="R12",AS21,0)+IF(I67="R12",AV21,0)+IF(J67="R12",AY21,0)+IF(K67="R12",BB21,0)+IF(L67="R12",BE21,0)+IF(M67="R12",BH21,0)+IF(N67="R12",BK21,0)+IF(O67="R12",BN21,0)+IF(P67="R12",BQ21,0))</f>
        <v>0</v>
      </c>
      <c r="BL67" s="51">
        <f>SUM(IF(C67="R13",AB21,0)+IF(D67="R13",AE21,0)+IF(E67="R13",AH21,0)+IF(F67="R13",AK21,0)+IF(G67="R13",AN21,0)+IF(H67="R13",AQ21,0)+IF(I67="R13",AT21,0)+IF(J67="R13",AW21,0)+IF(K67="R13",AZ21,0)+IF(L67="R13",BC21,0)+IF(M67="R13",BF21,0)+IF(N67="R13",BI21,0)+IF(O67="R13",BL21,0)+IF(P67="R13",BO21,0))</f>
        <v>0</v>
      </c>
      <c r="BM67" s="51">
        <f>SUM(IF(C67="R13",AC21,0)+IF(D67="R13",AF21,0)+IF(E67="R13",AI21,0)+IF(F67="R13",AL21,0)+IF(G67="R13",AO21,0)+IF(H67="R13",AR21,0)+IF(I67="R13",AU21,0)+IF(J67="R13",AX21,0)+IF(K67="R13",BA21,0)+IF(L67="R13",BD21,0)+IF(M67="R13",BG21,0)+IF(N67="R13",BJ21,0)+IF(O67="R13",BM21,0)+IF(P67="R13",BP21,0))</f>
        <v>0</v>
      </c>
      <c r="BN67" s="51">
        <f>SUM(IF(F67="R13",AG21,0)+IF(G67="R13",AJ21,0)+IF(H67="R13",AM21,0)+IF(I67="R13",AP21,0)+IF(J67="R13",AS21,0)+IF(K67="R13",AV21,0)+IF(L67="R13",AY21,0)+IF(M67="R13",BB21,0)+IF(N67="R13",BE21,0)+IF(O67="R13",BH21,0)+IF(P67="R13",BK21,0)+IF(Q67="R13",BN21,0)+IF(R67="R13",BQ21,0)+IF(S67="R13",BT21,0))</f>
        <v>0</v>
      </c>
      <c r="BO67" s="51">
        <f>SUM(IF(C67="R14",AB21,0)+IF(D67="R14",AE21,0)+IF(E67="R14",AH21,0)+IF(F67="R14",AK21,0)+IF(G67="R14",AN21,0)+IF(H67="R14",AQ21,0)+IF(I67="R14",AT21,0)+IF(J67="R14",AW21,0)+IF(K67="R14",AZ21,0)+IF(L67="R14",BC21,0)+IF(M67="R14",BF21,0)+IF(N67="R14",BI21,0)+IF(O67="R14",BL21,0)+IF(P67="R14",BO21,0))</f>
        <v>0</v>
      </c>
      <c r="BP67" s="51">
        <f>SUM(IF(C67="R14",AC21,0)+IF(D67="R14",AF21,0)+IF(E67="R14",AI21,0)+IF(F67="R14",AL21,0)+IF(G67="R14",AO21,0)+IF(H67="R14",AR21,0)+IF(I67="R14",AU21,0)+IF(J67="R14",AX21,0)+IF(K67="R14",BA21,0)+IF(L67="R14",BD21,0)+IF(M67="R14",BG21,0)+IF(N67="R14",BJ21,0)+IF(O67="R14",BM21,0)+IF(P67="R14",BP21,0))</f>
        <v>0</v>
      </c>
      <c r="BQ67" s="51">
        <f>SUM(IF(F67="R14",AG21,0)+IF(G67="R14",AJ21,0)+IF(H67="R14",AM21,0)+IF(I67="R14",AP21,0)+IF(J67="R14",AS21,0)+IF(K67="R14",AV21,0)+IF(L67="R14",AY21,0)+IF(M67="R14",BB21,0)+IF(N67="R14",BE21,0)+IF(O67="R14",BH21,0)+IF(P67="R14",BK21,0)+IF(Q67="R14",BN21,0)+IF(R67="R14",BQ21,0)+IF(S67="R14",BT21,0))</f>
        <v>0</v>
      </c>
    </row>
    <row r="68" spans="1:69" ht="14.25" customHeight="1" thickBot="1" x14ac:dyDescent="0.3">
      <c r="A68" s="106"/>
      <c r="B68" s="91" t="s">
        <v>94</v>
      </c>
      <c r="C68" s="116" t="s">
        <v>130</v>
      </c>
      <c r="D68" s="112" t="s">
        <v>131</v>
      </c>
      <c r="E68" s="111" t="s">
        <v>132</v>
      </c>
      <c r="F68" s="112" t="s">
        <v>133</v>
      </c>
      <c r="G68" s="111" t="s">
        <v>134</v>
      </c>
      <c r="H68" s="112" t="s">
        <v>135</v>
      </c>
      <c r="I68" s="111" t="s">
        <v>136</v>
      </c>
      <c r="J68" s="112" t="s">
        <v>158</v>
      </c>
      <c r="K68" s="111" t="s">
        <v>159</v>
      </c>
      <c r="L68" s="112" t="s">
        <v>160</v>
      </c>
      <c r="M68" s="111"/>
      <c r="N68" s="112"/>
      <c r="O68" s="111"/>
      <c r="P68" s="191"/>
      <c r="X68" s="78"/>
      <c r="Z68" s="66"/>
      <c r="AA68" s="95" t="s">
        <v>94</v>
      </c>
      <c r="AB68" s="51">
        <f t="shared" ref="AB68:AB108" si="48">SUM(IF(C68="R1",AB22,0)+IF(D68="R1",AE22,0)+IF(E68="R1",AH22,0)+IF(F68="R1",AK22,0)+IF(G68="R1",AN22,0)+IF(H68="R1",AQ22,0)+IF(I68="R1",AT22,0)+IF(J68="R1",AW22,0)+IF(K68="R1",AZ22,0)+IF(L68="R1",BC22,0)+IF(M68="R1",BF22,0)+IF(N68="R1",BI22,0)+IF(O68="R1",BL22,0)+IF(P68="R1",BO22,0))</f>
        <v>7.4</v>
      </c>
      <c r="AC68" s="51">
        <f t="shared" ref="AC68:AC108" si="49">SUM(IF(C68="R1",AC22,0)+IF(D68="R1",AF22,0)+IF(E68="R1",AI22,0)+IF(F68="R1",AL22,0)+IF(G68="R1",AO22,0)+IF(H68="R1",AR22,0)+IF(I68="R1",AU22,0)+IF(J68="R1",AX22,0)+IF(K68="R1",BA22,0)+IF(L68="R1",BD22,0)+IF(M68="R1",BG22,0)+IF(N68="R1",BJ22,0)+IF(O68="R1",BM22,0)+IF(P68="R1",BP22,0))</f>
        <v>6.4</v>
      </c>
      <c r="AD68" s="51">
        <f t="shared" ref="AD68:AD108" si="50">SUM(IF(C68="R1",AD22,0)+IF(D68="R1",AG22,0)+IF(E68="R1",AJ22,0)+IF(F68="R1",AM22,0)+IF(G68="R1",AP22,0)+IF(H68="R1",AS22,0)+IF(I68="R1",AV22,0)+IF(J68="R1",AY22,0)+IF(K68="R1",BB22,0)+IF(L68="R1",BE22,0)+IF(M68="R1",BH22,0)+IF(N68="R1",BK22,0)+IF(O68="R1",BN22,0)+IF(P68="R1",BQ22,0))</f>
        <v>11.4</v>
      </c>
      <c r="AE68" s="51">
        <f t="shared" ref="AE68:AE108" si="51">SUM(IF(C68="R2",AB22,0)+IF(D68="R2",AE22,0)+IF(E68="R2",AH22,0)+IF(F68="R2",AK22,0)+IF(G68="R2",AN22,0)+IF(H68="R2",AQ22,0)+IF(I68="R2",AT22,0)+IF(J68="R2",AW22,0)+IF(K68="R2",AZ22,0)+IF(L68="R2",BC22,0)+IF(M68="R2",BF22,0)+IF(N68="R2",BI22,0)+IF(O68="R2",BL22,0)+IF(P68="R2",BO22,0))</f>
        <v>4.7</v>
      </c>
      <c r="AF68" s="51">
        <f t="shared" ref="AF68:AF108" si="52">SUM(IF(C68="R2",AC22,0)+IF(D68="R2",AF22,0)+IF(E68="R2",AI22,0)+IF(F68="R2",AL22,0)+IF(G68="R2",AO22,0)+IF(H68="R2",AR22,0)+IF(I68="R2",AU22,0)+IF(J68="R2",AX22,0)+IF(K68="R2",BA22,0)+IF(L68="R2",BD22,0)+IF(M68="R2",BG22,0)+IF(N68="R2",BJ22,0)+IF(O68="R2",BM22,0)+IF(P68="R2",BP22,0))</f>
        <v>4.9000000000000004</v>
      </c>
      <c r="AG68" s="51">
        <f t="shared" ref="AG68:AG108" si="53">SUM(IF(C68="R2",AD22,0)+IF(D68="R2",AG22,0)+IF(E68="R2",AJ22,0)+IF(F68="R2",AM22,0)+IF(G68="R2",AP22,0)+IF(H68="R2",AS22,0)+IF(I68="R2",AV22,0)+IF(J68="R2",AY22,0)+IF(K68="R2",BB22,0)+IF(L68="R2",BE22,0)+IF(M68="R2",BH22,0)+IF(N68="R2",BK22,0)+IF(O68="R2",BN22,0)+IF(P68="R2",BQ22,0))</f>
        <v>7.8000000000000007</v>
      </c>
      <c r="AH68" s="51">
        <f t="shared" ref="AH68:AH108" si="54">SUM(IF(C68="R3",AB22,0)+IF(D68="R3",AE22,0)+IF(E68="R3",AH22,0)+IF(F68="R3",AK22,0)+IF(G68="R3",AN22,0)+IF(H68="R3",AQ22,0)+IF(I68="R3",AT22,0)+IF(J68="R3",AW22,0)+IF(K68="R3",AZ22,0)+IF(L68="R3",BC22,0)+IF(M68="R3",BF22,0)+IF(N68="R3",BI22,0)+IF(O68="R3",BL22,0)+IF(P68="R3",BO22,0))</f>
        <v>4.7</v>
      </c>
      <c r="AI68" s="51">
        <f t="shared" ref="AI68:AI108" si="55">SUM(IF(C68="R3",AC22,0)+IF(D68="R3",AF22,0)+IF(E68="R3",AI22,0)+IF(F68="R3",AL22,0)+IF(G68="R3",AO22,0)+IF(H68="R3",AR22,0)+IF(I68="R3",AU22,0)+IF(J68="R3",AX22,0)+IF(K68="R3",BA22,0)+IF(L68="R3",BD22,0)+IF(M68="R3",BG22,0)+IF(N68="R3",BJ22,0)+IF(O68="R3",BM22,0)+IF(P68="R3",BP22,0))</f>
        <v>4.9000000000000004</v>
      </c>
      <c r="AJ68" s="51">
        <f t="shared" ref="AJ68:AJ108" si="56">SUM(IF(C68="R3",AD22,0)+IF(D68="R3",AG22,0)+IF(E68="R3",AJ22,0)+IF(F68="R3",AM22,0)+IF(G68="R3",AP22,0)+IF(H68="R3",AS22,0)+IF(I68="R3",AV22,0)+IF(J68="R3",AY22,0)+IF(K68="R3",BB22,0)+IF(L68="R3",BE22,0)+IF(M68="R3",BH22,0)+IF(N68="R3",BK22,0)+IF(O68="R3",BN22,0)+IF(P68="R3",BQ22,0))</f>
        <v>7.8000000000000007</v>
      </c>
      <c r="AK68" s="51">
        <f t="shared" ref="AK68:AK108" si="57">SUM(IF(C68="R4",AB22,0)+IF(D68="R4",AE22,0)+IF(E68="R4",AH22,0)+IF(F68="R4",AK22,0)+IF(G68="R4",AN22,0)+IF(H68="R4",AQ22,0)+IF(I68="R4",AT22,0)+IF(J68="R4",AW22,0)+IF(K68="R4",AZ22,0)+IF(L68="R4",BC22,0)+IF(M68="R4",BF22,0)+IF(N68="R4",BI22,0)+IF(O68="R4",BL22,0)+IF(P68="R4",BO22,0))</f>
        <v>4.7</v>
      </c>
      <c r="AL68" s="51">
        <f t="shared" ref="AL68:AL108" si="58">SUM(IF(C68="R4",AC22,0)+IF(D68="R4",AF22,0)+IF(E68="R4",AI22,0)+IF(F68="R4",AL22,0)+IF(G68="R4",AO22,0)+IF(H68="R4",AR22,0)+IF(I68="R4",AU22,0)+IF(J68="R4",AX22,0)+IF(K68="R4",BA22,0)+IF(L68="R4",BD22,0)+IF(M68="R4",BG22,0)+IF(N68="R4",BJ22,0)+IF(O68="R4",BM22,0)+IF(P68="R4",BP22,0))</f>
        <v>4.9000000000000004</v>
      </c>
      <c r="AM68" s="51">
        <f t="shared" ref="AM68:AM108" si="59">SUM(IF(C68="R4",AD22,0)+IF(D68="R4",AG22,0)+IF(E68="R4",AJ22,0)+IF(F68="R4",AM22,0)+IF(G68="R4",AP22,0)+IF(H68="R4",AS22,0)+IF(I68="R4",AV22,0)+IF(J68="R4",AY22,0)+IF(K68="R4",BB22,0)+IF(L68="R4",BE22,0)+IF(M68="R4",BH22,0)+IF(N68="R4",BK22,0)+IF(O68="R4",BN22,0)+IF(P68="R4",BQ22,0))</f>
        <v>7.8000000000000007</v>
      </c>
      <c r="AN68" s="51">
        <f t="shared" ref="AN68:AN108" si="60">SUM(IF(C68="R5",AB22,0)+IF(D68="R5",AE22,0)+IF(E68="R5",AH22,0)+IF(F68="R5",AK22,0)+IF(G68="R5",AN22,0)+IF(H68="R5",AQ22,0)+IF(I68="R5",AT22,0)+IF(J68="R5",AW22,0)+IF(K68="R5",AZ22,0)+IF(L68="R5",BC22,0)+IF(M68="R5",BF22,0)+IF(N68="R5",BI22,0)+IF(O68="R5",BL22,0)+IF(P68="R5",BO22,0))</f>
        <v>4.7</v>
      </c>
      <c r="AO68" s="51">
        <f t="shared" ref="AO68:AO108" si="61">SUM(IF(C68="R5",AC22,0)+IF(D68="R5",AF22,0)+IF(E68="R5",AI22,0)+IF(F68="R5",AL22,0)+IF(G68="R5",AO22,0)+IF(H68="R5",AR22,0)+IF(I68="R5",AU22,0)+IF(J68="R5",AX22,0)+IF(K68="R5",BA22,0)+IF(L68="R5",BD22,0)+IF(M68="R5",BG22,0)+IF(N68="R5",BJ22,0)+IF(O68="R5",BM22,0)+IF(P68="R5",BP22,0))</f>
        <v>4.9000000000000004</v>
      </c>
      <c r="AP68" s="51">
        <f t="shared" ref="AP68:AP108" si="62">SUM(IF(C68="R5",AD22,0)+IF(D68="R5",AG22,0)+IF(E68="R5",AJ22,0)+IF(F68="R5",AM22,0)+IF(G68="R5",AP22,0)+IF(H68="R5",AS22,0)+IF(I68="R5",AV22,0)+IF(J68="R5",AY22,0)+IF(K68="R5",BB22,0)+IF(L68="R5",BE22,0)+IF(M68="R5",BH22,0)+IF(N68="R5",BK22,0)+IF(O68="R5",BN22,0)+IF(P68="R5",BQ22,0))</f>
        <v>7.8000000000000007</v>
      </c>
      <c r="AQ68" s="51">
        <f t="shared" ref="AQ68:AQ108" si="63">SUM(IF(C68="R6",AB22,0)+IF(D68="R6",AE22,0)+IF(E68="R6",AH22,0)+IF(F68="R6",AK22,0)+IF(G68="R6",AN22,0)+IF(H68="R6",AQ22,0)+IF(I68="R6",AT22,0)+IF(J68="R6",AW22,0)+IF(K68="R6",AZ22,0)+IF(L68="R6",BC22,0)+IF(M68="R6",BF22,0)+IF(N68="R6",BI22,0)+IF(O68="R6",BL22,0)+IF(P68="R6",BO22,0))</f>
        <v>4.7</v>
      </c>
      <c r="AR68" s="51">
        <f t="shared" ref="AR68:AR108" si="64">SUM(IF(C68="R6",AC22,0)+IF(D68="R6",AF22,0)+IF(E68="R6",AI22,0)+IF(F68="R6",AL22,0)+IF(G68="R6",AO22,0)+IF(H68="R6",AR22,0)+IF(I68="R6",AU22,0)+IF(J68="R6",AX22,0)+IF(K68="R6",BA22,0)+IF(L68="R6",BD22,0)+IF(M68="R5",BG22,0)+IF(N68="R5",BJ22,0)+IF(O68="R5",BM22,0)+IF(P68="R5",BP22,0))</f>
        <v>4.9000000000000004</v>
      </c>
      <c r="AS68" s="51">
        <f t="shared" ref="AS68:AS108" si="65">SUM(IF(C68="R6",AD22,0)+IF(D68="R6",AG22,0)+IF(E68="R6",AJ22,0)+IF(F68="R6",AM22,0)+IF(G68="R6",AP22,0)+IF(H68="R6",AS22,0)+IF(I68="R6",AV22,0)+IF(J68="R6",AY22,0)+IF(K68="R6",BB22,0)+IF(L68="R6",BE22,0)+IF(M68="R6",BH22,0)+IF(N68="R6",BK22,0)+IF(O68="R6",BN22,0)+IF(P68="R6",BQ22,0))</f>
        <v>7.8000000000000007</v>
      </c>
      <c r="AT68" s="51">
        <f t="shared" ref="AT68:AT108" si="66">SUM(IF(C68="R7",AB22,0)+IF(D68="R7",AE22,0)+IF(E68="R7",AH22,0)+IF(F68="R7",AK22,0)+IF(G68="R7",AN22,0)+IF(H68="R7",AQ22,0)+IF(I68="R7",AT22,0)+IF(J68="R7",AW22,0)+IF(K68="R7",AZ22,0)+IF(L68="R7",BC22,0)+IF(M68="R7",BF22,0)+IF(N68="R7",BI22,0)+IF(O68="R7",BL22,0)+IF(P68="R7",BO22,0))</f>
        <v>4.7</v>
      </c>
      <c r="AU68" s="51">
        <f t="shared" ref="AU68:AU108" si="67">SUM(IF(C68="R7",AC22,0)+IF(D68="R7",AF22,0)+IF(E68="R7",AI22,0)+IF(F68="R7",AL22,0)+IF(G68="R7",AO22,0)+IF(H68="R7",AR22,0)+IF(I68="R7",AU22,0)+IF(J68="R7",AX22,0)+IF(K68="R7",BA22,0)+IF(L68="R7",BD22,0)+IF(M68="R7",BG22,0)+IF(N68="R7",BJ22,0)+IF(O68="R7",BM22,0)+IF(P68="R7",BP22,0))</f>
        <v>4.9000000000000004</v>
      </c>
      <c r="AV68" s="51">
        <f t="shared" ref="AV68:AV108" si="68">SUM(IF(C68="R7",AD22,0)+IF(D68="R7",AG22,0)+IF(E68="R7",AJ22,0)+IF(F68="R7",AM22,0)+IF(G68="R7",AP22,0)+IF(H68="R7",AS22,0)+IF(I68="R7",AV22,0)+IF(J68="R7",AY22,0)+IF(K68="R7",BB22,0)+IF(L68="R7",BE22,0)+IF(M68="R7",BH22,0)+IF(N68="R7",BK22,0)+IF(O68="R7",BN22,0)+IF(P68="R7",BQ22,0))</f>
        <v>7.8000000000000007</v>
      </c>
      <c r="AW68" s="51">
        <f t="shared" ref="AW68:AW108" si="69">SUM(IF(C68="R8",AB22,0)+IF(D68="R8",AE22,0)+IF(E68="R8",AH22,0)+IF(F68="R8",AK22,0)+IF(G68="R8",AN22,0)+IF(H68="R8",AQ22,0)+IF(I68="R8",AT22,0)+IF(J68="R8",AW22,0)+IF(K68="R8",AZ22,0)+IF(L68="R8",BC22,0)+IF(M68="R8",BF22,0)+IF(N68="R8",BI22,0)+IF(O68="R8",BL22,0)+IF(P68="R8",BO22,0))</f>
        <v>4.7</v>
      </c>
      <c r="AX68" s="51">
        <f t="shared" ref="AX68:AX108" si="70">SUM(IF(C68="R8",AC22,0)+IF(D68="R8",AF22,0)+IF(E68="R8",AI22,0)+IF(F68="R8",AL22,0)+IF(G68="R8",AO22,0)+IF(H68="R8",AR22,0)+IF(I68="R8",AU22,0)+IF(J68="R8",AX22,0)+IF(K68="R8",BA22,0)+IF(L68="R8",BD22,0)+IF(M68="R8",BG22,0)+IF(N68="R8",BJ22,0)+IF(O68="R8",BM22,0)+IF(P68="R8",BP22,0))</f>
        <v>4.9000000000000004</v>
      </c>
      <c r="AY68" s="51">
        <f t="shared" ref="AY68:AY108" si="71">SUM(IF(C68="R8",AD22,0)+IF(D68="R8",AG22,0)+IF(E68="R8",AJ22,0)+IF(F68="R8",AM22,0)+IF(G68="R8",AP22,0)+IF(H68="R8",AS22,0)+IF(I68="R8",AV22,0)+IF(J68="R8",AY22,0)+IF(K68="R8",BB22,0)+IF(L68="R8",BE22,0)+IF(M68="R8",BH22,0)+IF(N68="R8",BK22,0)+IF(O68="R8",BN22,0)+IF(P68="R8",BQ22,0))</f>
        <v>7.8000000000000007</v>
      </c>
      <c r="AZ68" s="51">
        <f t="shared" ref="AZ68:AZ107" si="72">SUM(IF(C68="R9",AB22,0)+IF(D68="R9",AE22,0)+IF(E68="R9",AH22,0)+IF(F68="R9",AK22,0)+IF(G68="R9",AN22,0)+IF(H68="R9",AQ22,0)+IF(I68="R9",AT22,0)+IF(J68="R9",AW22,0)+IF(K68="R9",AZ22,0)+IF(L68="R9",BC22,0)+IF(M68="R9",BF22,0)+IF(N68="R9",BI22,0)+IF(O68="R9",BL22,0)+IF(P68="R9",BO22,0))</f>
        <v>4.7</v>
      </c>
      <c r="BA68" s="51">
        <f t="shared" ref="BA68:BA107" si="73">SUM(IF(C68="R9",AC22,0)+IF(D68="R9",AF22,0)+IF(E68="R9",AI22,0)+IF(F68="R9",AL22,0)+IF(G68="R9",AO22,0)+IF(H68="R9",AR22,0)+IF(I68="R9",AU22,0)+IF(J68="R9",AX22,0)+IF(K68="R9",BA22,0)+IF(L68="R9",BD22,0)+IF(M68="R9",BG22,0)+IF(N68="R9",BJ22,0)+IF(O68="R9",BM22,0)+IF(P68="R9",BP22,0))</f>
        <v>4.9000000000000004</v>
      </c>
      <c r="BB68" s="51">
        <f t="shared" ref="BB68:BB107" si="74">SUM(IF(C68="R9",AD22,0)+IF(D68="R9",AG22,0)+IF(E68="R9",AJ22,0)+IF(F68="R9",AM22,0)+IF(G68="R9",AP22,0)+IF(H68="R9",AS22,0)+IF(I68="R9",AV22,0)+IF(J68="R9",AY22,0)+IF(K68="R9",BB22,0)+IF(L68="R9",BE22,0)+IF(M68="R9",BH22,0)+IF(N68="R9",BK22,0)+IF(O68="R9",BN22,0)+IF(P68="R9",BQ22,0))</f>
        <v>7.8000000000000007</v>
      </c>
      <c r="BC68" s="51">
        <f t="shared" ref="BC68:BC108" si="75">SUM(IF(C68="R10",AB22,0)+IF(D68="R10",AE22,0)+IF(E68="R10",AH22,0)+IF(F68="R10",AK22,0)+IF(G68="R10",AN22,0)+IF(H68="R10",AQ22,0)+IF(I68="R10",AT22,0)+IF(J68="R10",AW22,0)+IF(K68="R10",AZ22,0)+IF(L68="R10",BC22,0)+IF(M68="R10",BF22,0)+IF(N68="R10",BI22,0)+IF(O68="R10",BL22,0)+IF(P68="R10",BO22,0))</f>
        <v>7.4</v>
      </c>
      <c r="BD68" s="51">
        <f t="shared" ref="BD68:BD108" si="76">SUM(IF(C68="R10",AC22,0)+IF(D68="R10",AF22,0)+IF(E68="R10",AI22,0)+IF(F68="R10",AL22,0)+IF(G68="R10",AO22,0)+IF(H68="R10",AR22,0)+IF(I68="R10",AU22,0)+IF(J68="R10",AX22,0)+IF(K68="R10",BA22,0)+IF(L68="R10",BD22,0)+IF(M68="R10",BG22,0)+IF(N68="R10",BJ22,0)+IF(O68="R11",BM22,0)+IF(P68="R11",BP22,0))</f>
        <v>6.4</v>
      </c>
      <c r="BE68" s="51">
        <f t="shared" ref="BE68:BE108" si="77">SUM(IF(C68="R10",AD22,0)+IF(D68="R10",AG22,0)+IF(E68="R10",AJ22,0)+IF(F68="R10",AM22,0)+IF(G68="R10",AP22,0)+IF(H68="R10",AS22,0)+IF(I68="R10",AV22,0)+IF(J68="R10",AY22,0)+IF(K68="R10",BB22,0)+IF(L68="R10",BE22,0)+IF(M68="R10",BH22,0)+IF(N68="R10",BJ22,0)+IF(O68="R10",BM22,0)+IF(P68="R10",BP22,0))</f>
        <v>11.4</v>
      </c>
      <c r="BF68" s="51">
        <f t="shared" ref="BF68:BF108" si="78">SUM(IF(C68="R11",AB22,0)+IF(D68="R11",AE22,0)+IF(E68="R11",AH22,0)+IF(F68="R11",AK22,0)+IF(G68="R11",AN22,0)+IF(H68="R11",AQ22,0)+IF(I68="R11",AT22,0)+IF(J68="R11",AW22,0)+IF(K68="R11",AZ22,0)+IF(L68="R11",BC22,0)+IF(M68="R11",BF22,0)+IF(N68="R11",BI22,0)+IF(O68="R11",BL22,0)+IF(P68="R11",BO22,0))</f>
        <v>0</v>
      </c>
      <c r="BG68" s="51">
        <f t="shared" ref="BG68:BG108" si="79">SUM(IF(L68="R11",AL22,0)+IF(M68="R11",AO22,0)+IF(N68="R11",AR22,0)+IF(O68="R11",AU22,0)+IF(P68="R11",AX22,0)+IF(Q68="R11",BA22,0)+IF(R68="R11",BD22,0)+IF(J68="R11",AX22,0)+IF(K68="R11",BA22,0)+IF(L68="R11",BD22,0)+IF(M68="R11",BG22,0)+IF(N68="R11",BJ22,0)+IF(O68="R11",BM22,0)+IF(P68="R11",BP22,0))</f>
        <v>0</v>
      </c>
      <c r="BH68" s="51">
        <f t="shared" ref="BH68:BH108" si="80">SUM(IF(C68="R11",AD22,0)+IF(D68="R11",AG22,0)+IF(E68="R11",AJ22,0)+IF(F68="R11",AM22,0)+IF(G68="R11",AP22,0)+IF(H68="R11",AS22,0)+IF(I68="R11",AV22,0)+IF(J68="R11",AY22,0)+IF(K68="R11",BB22,0)+IF(L68="R11",BE22,0)+IF(M68="R11",BH22,0)+IF(N68="R11",BK22,0)+IF(O68="R11",BN22,0)+IF(P68="R11",BQ22,0))</f>
        <v>0</v>
      </c>
      <c r="BI68" s="51">
        <f t="shared" ref="BI68:BI108" si="81">SUM(IF(C68="R12",AB22,0)+IF(D68="R12",AE22,0)+IF(E68="R12",AH22,0)+IF(F68="R12",AK22,0)+IF(G68="R12",AN22,0)+IF(H68="R12",AQ22,0)+IF(I68="R12",AT22,0)+IF(J68="R12",AW22,0)+IF(K68="R12",AZ22,0)+IF(L68="R12",BC22,0)+IF(M68="R12",BF22,0)+IF(N68="R12",BI22,0)+IF(O68="R12",BL22,0)+IF(P68="R12",BO22,0))</f>
        <v>0</v>
      </c>
      <c r="BJ68" s="51">
        <f t="shared" ref="BJ68:BJ108" si="82">SUM(IF(C68="R12",AC22,0)+IF(D68="R12",AF22,0)+IF(E68="R12",AI22,0)+IF(F68="R12",AL22,0)+IF(G68="R12",AO22,0)+IF(H68="R12",AR22,0)+IF(I68="R12",AU22,0)+IF(J68="R12",AX22,0)+IF(K68="R12",BA22,0)+IF(L68="R12",BD22,0)+IF(M68="R12",BG22,0)+IF(N68="R12",BJ22,0)+IF(O68="R12",BM22,0)+IF(P68="R12",BP22,0))</f>
        <v>0</v>
      </c>
      <c r="BK68" s="51">
        <f t="shared" ref="BK68:BK108" si="83">SUM(IF(C68="R12",AD22,0)+IF(D68="R12",AG22,0)+IF(E68="R12",AJ22,0)+IF(F68="R12",AM22,0)+IF(G68="R12",AP22,0)+IF(H68="R12",AS22,0)+IF(I68="R12",AV22,0)+IF(J68="R12",AY22,0)+IF(K68="R12",BB22,0)+IF(L68="R12",BE22,0)+IF(M68="R12",BH22,0)+IF(N68="R12",BK22,0)+IF(O68="R12",BN22,0)+IF(P68="R12",BQ22,0))</f>
        <v>0</v>
      </c>
      <c r="BL68" s="51">
        <f t="shared" ref="BL68:BL108" si="84">SUM(IF(C68="R13",AB22,0)+IF(D68="R13",AE22,0)+IF(E68="R13",AH22,0)+IF(F68="R13",AK22,0)+IF(G68="R13",AN22,0)+IF(H68="R13",AQ22,0)+IF(I68="R13",AT22,0)+IF(J68="R13",AW22,0)+IF(K68="R13",AZ22,0)+IF(L68="R13",BC22,0)+IF(M68="R13",BF22,0)+IF(N68="R13",BI22,0)+IF(O68="R13",BL22,0)+IF(P68="R13",BO22,0))</f>
        <v>0</v>
      </c>
      <c r="BM68" s="51">
        <f t="shared" ref="BM68:BM108" si="85">SUM(IF(C68="R13",AC22,0)+IF(D68="R13",AF22,0)+IF(E68="R13",AI22,0)+IF(F68="R13",AL22,0)+IF(G68="R13",AO22,0)+IF(H68="R13",AR22,0)+IF(I68="R13",AU22,0)+IF(J68="R13",AX22,0)+IF(K68="R13",BA22,0)+IF(L68="R13",BD22,0)+IF(M68="R13",BG22,0)+IF(N68="R13",BJ22,0)+IF(O68="R13",BM22,0)+IF(P68="R13",BP22,0))</f>
        <v>0</v>
      </c>
      <c r="BN68" s="51">
        <f t="shared" ref="BN68:BN108" si="86">SUM(IF(F68="R13",AG22,0)+IF(G68="R13",AJ22,0)+IF(H68="R13",AM22,0)+IF(I68="R13",AP22,0)+IF(J68="R13",AS22,0)+IF(K68="R13",AV22,0)+IF(L68="R13",AY22,0)+IF(M68="R13",BB22,0)+IF(N68="R13",BE22,0)+IF(O68="R13",BH22,0)+IF(P68="R13",BK22,0)+IF(Q68="R13",BN22,0)+IF(R68="R13",BQ22,0)+IF(S68="R13",BT22,0))</f>
        <v>0</v>
      </c>
      <c r="BO68" s="51">
        <f t="shared" ref="BO68:BO108" si="87">SUM(IF(C68="R14",AB22,0)+IF(D68="R14",AE22,0)+IF(E68="R14",AH22,0)+IF(F68="R14",AK22,0)+IF(G68="R14",AN22,0)+IF(H68="R14",AQ22,0)+IF(I68="R14",AT22,0)+IF(J68="R14",AW22,0)+IF(K68="R14",AZ22,0)+IF(L68="R14",BC22,0)+IF(M68="R14",BF22,0)+IF(N68="R14",BI22,0)+IF(O68="R14",BL22,0)+IF(P68="R14",BO22,0))</f>
        <v>0</v>
      </c>
      <c r="BP68" s="51">
        <f t="shared" ref="BP68:BP108" si="88">SUM(IF(C68="R14",AC22,0)+IF(D68="R14",AF22,0)+IF(E68="R14",AI22,0)+IF(F68="R14",AL22,0)+IF(G68="R14",AO22,0)+IF(H68="R14",AR22,0)+IF(I68="R14",AU22,0)+IF(J68="R14",AX22,0)+IF(K68="R14",BA22,0)+IF(L68="R14",BD22,0)+IF(M68="R14",BG22,0)+IF(N68="R14",BJ22,0)+IF(O68="R14",BM22,0)+IF(P68="R14",BP22,0))</f>
        <v>0</v>
      </c>
      <c r="BQ68" s="51">
        <f t="shared" ref="BQ68:BQ108" si="89">SUM(IF(F68="R14",AG22,0)+IF(G68="R14",AJ22,0)+IF(H68="R14",AM22,0)+IF(I68="R14",AP22,0)+IF(J68="R14",AS22,0)+IF(K68="R14",AV22,0)+IF(L68="R14",AY22,0)+IF(M68="R14",BB22,0)+IF(N68="R14",BE22,0)+IF(O68="R14",BH22,0)+IF(P68="R14",BK22,0)+IF(Q68="R14",BN22,0)+IF(R68="R14",BQ22,0)+IF(S68="R14",BT22,0))</f>
        <v>0</v>
      </c>
    </row>
    <row r="69" spans="1:69" ht="14.25" customHeight="1" thickBot="1" x14ac:dyDescent="0.3">
      <c r="A69" s="106"/>
      <c r="B69" s="91" t="s">
        <v>95</v>
      </c>
      <c r="C69" s="116" t="s">
        <v>130</v>
      </c>
      <c r="D69" s="112" t="s">
        <v>131</v>
      </c>
      <c r="E69" s="111" t="s">
        <v>132</v>
      </c>
      <c r="F69" s="112" t="s">
        <v>133</v>
      </c>
      <c r="G69" s="111" t="s">
        <v>134</v>
      </c>
      <c r="H69" s="112" t="s">
        <v>135</v>
      </c>
      <c r="I69" s="111" t="s">
        <v>136</v>
      </c>
      <c r="J69" s="112" t="s">
        <v>158</v>
      </c>
      <c r="K69" s="111" t="s">
        <v>159</v>
      </c>
      <c r="L69" s="112" t="s">
        <v>160</v>
      </c>
      <c r="M69" s="111"/>
      <c r="N69" s="112"/>
      <c r="O69" s="111"/>
      <c r="P69" s="191"/>
      <c r="X69" s="78"/>
      <c r="Z69" s="66"/>
      <c r="AA69" s="95" t="s">
        <v>95</v>
      </c>
      <c r="AB69" s="51">
        <f t="shared" si="48"/>
        <v>7.4</v>
      </c>
      <c r="AC69" s="51">
        <f t="shared" si="49"/>
        <v>6.4</v>
      </c>
      <c r="AD69" s="51">
        <f t="shared" si="50"/>
        <v>11.4</v>
      </c>
      <c r="AE69" s="51">
        <f t="shared" si="51"/>
        <v>4.7</v>
      </c>
      <c r="AF69" s="51">
        <f t="shared" si="52"/>
        <v>4.9000000000000004</v>
      </c>
      <c r="AG69" s="51">
        <f t="shared" si="53"/>
        <v>7.8000000000000007</v>
      </c>
      <c r="AH69" s="51">
        <f t="shared" si="54"/>
        <v>4.7</v>
      </c>
      <c r="AI69" s="51">
        <f t="shared" si="55"/>
        <v>4.9000000000000004</v>
      </c>
      <c r="AJ69" s="51">
        <f>SUM(IF(C69="R3",AD23,0)+IF(D69="R3",AG23,0)+IF(E69="R3",AJ23,0)+IF(F69="R3",AM23,0)+IF(G69="R3",AP23,0)+IF(H69="R3",AS23,0)+IF(I69="R3",AV23,0)+IF(J69="R3",AY23,0)+IF(K69="R3",BB23,0)+IF(L69="R3",BE23,0)+IF(M69="R3",BH23,0)+IF(N69="R3",BK23,0)+IF(O69="R3",BN23,0)+IF(P69="R3",BQ23,0))</f>
        <v>7.8000000000000007</v>
      </c>
      <c r="AK69" s="51">
        <f t="shared" si="57"/>
        <v>4.7</v>
      </c>
      <c r="AL69" s="51">
        <f t="shared" si="58"/>
        <v>4.9000000000000004</v>
      </c>
      <c r="AM69" s="51">
        <f t="shared" si="59"/>
        <v>7.8000000000000007</v>
      </c>
      <c r="AN69" s="51">
        <f t="shared" si="60"/>
        <v>4.7</v>
      </c>
      <c r="AO69" s="51">
        <f t="shared" si="61"/>
        <v>4.9000000000000004</v>
      </c>
      <c r="AP69" s="51">
        <f t="shared" si="62"/>
        <v>7.8000000000000007</v>
      </c>
      <c r="AQ69" s="51">
        <f t="shared" si="63"/>
        <v>4.7</v>
      </c>
      <c r="AR69" s="51">
        <f t="shared" si="64"/>
        <v>4.9000000000000004</v>
      </c>
      <c r="AS69" s="51">
        <f t="shared" si="65"/>
        <v>7.8000000000000007</v>
      </c>
      <c r="AT69" s="51">
        <f t="shared" si="66"/>
        <v>4.7</v>
      </c>
      <c r="AU69" s="51">
        <f t="shared" si="67"/>
        <v>4.9000000000000004</v>
      </c>
      <c r="AV69" s="51">
        <f t="shared" si="68"/>
        <v>7.8000000000000007</v>
      </c>
      <c r="AW69" s="51">
        <f t="shared" si="69"/>
        <v>4.7</v>
      </c>
      <c r="AX69" s="51">
        <f t="shared" si="70"/>
        <v>4.9000000000000004</v>
      </c>
      <c r="AY69" s="51">
        <f t="shared" si="71"/>
        <v>7.8000000000000007</v>
      </c>
      <c r="AZ69" s="51">
        <f t="shared" si="72"/>
        <v>4.7</v>
      </c>
      <c r="BA69" s="51">
        <f t="shared" si="73"/>
        <v>4.9000000000000004</v>
      </c>
      <c r="BB69" s="51">
        <f t="shared" si="74"/>
        <v>7.8000000000000007</v>
      </c>
      <c r="BC69" s="51">
        <f t="shared" si="75"/>
        <v>7.4</v>
      </c>
      <c r="BD69" s="51">
        <f t="shared" si="76"/>
        <v>6.4</v>
      </c>
      <c r="BE69" s="51">
        <f t="shared" si="77"/>
        <v>11.4</v>
      </c>
      <c r="BF69" s="51">
        <f t="shared" si="78"/>
        <v>0</v>
      </c>
      <c r="BG69" s="51">
        <f t="shared" si="79"/>
        <v>0</v>
      </c>
      <c r="BH69" s="51">
        <f t="shared" si="80"/>
        <v>0</v>
      </c>
      <c r="BI69" s="51">
        <f t="shared" si="81"/>
        <v>0</v>
      </c>
      <c r="BJ69" s="51">
        <f t="shared" si="82"/>
        <v>0</v>
      </c>
      <c r="BK69" s="51">
        <f t="shared" si="83"/>
        <v>0</v>
      </c>
      <c r="BL69" s="51">
        <f t="shared" si="84"/>
        <v>0</v>
      </c>
      <c r="BM69" s="51">
        <f t="shared" si="85"/>
        <v>0</v>
      </c>
      <c r="BN69" s="51">
        <f t="shared" si="86"/>
        <v>0</v>
      </c>
      <c r="BO69" s="51">
        <f t="shared" si="87"/>
        <v>0</v>
      </c>
      <c r="BP69" s="51">
        <f t="shared" si="88"/>
        <v>0</v>
      </c>
      <c r="BQ69" s="51">
        <f t="shared" si="89"/>
        <v>0</v>
      </c>
    </row>
    <row r="70" spans="1:69" ht="14.25" customHeight="1" thickBot="1" x14ac:dyDescent="0.3">
      <c r="A70" s="106"/>
      <c r="B70" s="91" t="s">
        <v>96</v>
      </c>
      <c r="C70" s="116" t="s">
        <v>130</v>
      </c>
      <c r="D70" s="112" t="s">
        <v>131</v>
      </c>
      <c r="E70" s="111" t="s">
        <v>132</v>
      </c>
      <c r="F70" s="112" t="s">
        <v>133</v>
      </c>
      <c r="G70" s="111" t="s">
        <v>134</v>
      </c>
      <c r="H70" s="112" t="s">
        <v>135</v>
      </c>
      <c r="I70" s="111" t="s">
        <v>136</v>
      </c>
      <c r="J70" s="112" t="s">
        <v>158</v>
      </c>
      <c r="K70" s="111" t="s">
        <v>159</v>
      </c>
      <c r="L70" s="112" t="s">
        <v>160</v>
      </c>
      <c r="M70" s="111"/>
      <c r="N70" s="112"/>
      <c r="O70" s="111"/>
      <c r="P70" s="191"/>
      <c r="X70" s="78"/>
      <c r="Z70" s="66"/>
      <c r="AA70" s="95" t="s">
        <v>96</v>
      </c>
      <c r="AB70" s="51">
        <f t="shared" si="48"/>
        <v>7.4</v>
      </c>
      <c r="AC70" s="51">
        <f t="shared" si="49"/>
        <v>6.4</v>
      </c>
      <c r="AD70" s="51">
        <f t="shared" si="50"/>
        <v>11.4</v>
      </c>
      <c r="AE70" s="51">
        <f t="shared" si="51"/>
        <v>4.7</v>
      </c>
      <c r="AF70" s="51">
        <f t="shared" si="52"/>
        <v>4.9000000000000004</v>
      </c>
      <c r="AG70" s="51">
        <f t="shared" si="53"/>
        <v>7.8000000000000007</v>
      </c>
      <c r="AH70" s="51">
        <f t="shared" si="54"/>
        <v>4.7</v>
      </c>
      <c r="AI70" s="51">
        <f t="shared" si="55"/>
        <v>4.9000000000000004</v>
      </c>
      <c r="AJ70" s="51">
        <f t="shared" si="56"/>
        <v>7.8000000000000007</v>
      </c>
      <c r="AK70" s="51">
        <f t="shared" si="57"/>
        <v>4.7</v>
      </c>
      <c r="AL70" s="51">
        <f t="shared" si="58"/>
        <v>4.9000000000000004</v>
      </c>
      <c r="AM70" s="51">
        <f t="shared" si="59"/>
        <v>7.8000000000000007</v>
      </c>
      <c r="AN70" s="51">
        <f t="shared" si="60"/>
        <v>4.7</v>
      </c>
      <c r="AO70" s="51">
        <f t="shared" si="61"/>
        <v>4.9000000000000004</v>
      </c>
      <c r="AP70" s="51">
        <f t="shared" si="62"/>
        <v>7.8000000000000007</v>
      </c>
      <c r="AQ70" s="51">
        <f t="shared" si="63"/>
        <v>4.7</v>
      </c>
      <c r="AR70" s="51">
        <f t="shared" si="64"/>
        <v>4.9000000000000004</v>
      </c>
      <c r="AS70" s="51">
        <f t="shared" si="65"/>
        <v>7.8000000000000007</v>
      </c>
      <c r="AT70" s="51">
        <f t="shared" si="66"/>
        <v>4.7</v>
      </c>
      <c r="AU70" s="51">
        <f t="shared" si="67"/>
        <v>4.9000000000000004</v>
      </c>
      <c r="AV70" s="51">
        <f t="shared" si="68"/>
        <v>7.8000000000000007</v>
      </c>
      <c r="AW70" s="51">
        <f t="shared" si="69"/>
        <v>4.7</v>
      </c>
      <c r="AX70" s="51">
        <f t="shared" si="70"/>
        <v>4.9000000000000004</v>
      </c>
      <c r="AY70" s="51">
        <f t="shared" si="71"/>
        <v>7.8000000000000007</v>
      </c>
      <c r="AZ70" s="51">
        <f t="shared" si="72"/>
        <v>4.7</v>
      </c>
      <c r="BA70" s="51">
        <f t="shared" si="73"/>
        <v>4.9000000000000004</v>
      </c>
      <c r="BB70" s="51">
        <f t="shared" si="74"/>
        <v>7.8000000000000007</v>
      </c>
      <c r="BC70" s="51">
        <f t="shared" si="75"/>
        <v>7.4</v>
      </c>
      <c r="BD70" s="51">
        <f t="shared" si="76"/>
        <v>6.4</v>
      </c>
      <c r="BE70" s="51">
        <f t="shared" si="77"/>
        <v>11.4</v>
      </c>
      <c r="BF70" s="51">
        <f t="shared" si="78"/>
        <v>0</v>
      </c>
      <c r="BG70" s="51">
        <f t="shared" si="79"/>
        <v>0</v>
      </c>
      <c r="BH70" s="51">
        <f t="shared" si="80"/>
        <v>0</v>
      </c>
      <c r="BI70" s="51">
        <f t="shared" si="81"/>
        <v>0</v>
      </c>
      <c r="BJ70" s="51">
        <f t="shared" si="82"/>
        <v>0</v>
      </c>
      <c r="BK70" s="51">
        <f t="shared" si="83"/>
        <v>0</v>
      </c>
      <c r="BL70" s="51">
        <f t="shared" si="84"/>
        <v>0</v>
      </c>
      <c r="BM70" s="51">
        <f t="shared" si="85"/>
        <v>0</v>
      </c>
      <c r="BN70" s="51">
        <f t="shared" si="86"/>
        <v>0</v>
      </c>
      <c r="BO70" s="51">
        <f t="shared" si="87"/>
        <v>0</v>
      </c>
      <c r="BP70" s="51">
        <f t="shared" si="88"/>
        <v>0</v>
      </c>
      <c r="BQ70" s="51">
        <f t="shared" si="89"/>
        <v>0</v>
      </c>
    </row>
    <row r="71" spans="1:69" ht="14.25" customHeight="1" thickBot="1" x14ac:dyDescent="0.3">
      <c r="A71" s="106"/>
      <c r="B71" s="91" t="s">
        <v>97</v>
      </c>
      <c r="C71" s="116" t="s">
        <v>130</v>
      </c>
      <c r="D71" s="112" t="s">
        <v>131</v>
      </c>
      <c r="E71" s="111" t="s">
        <v>132</v>
      </c>
      <c r="F71" s="112" t="s">
        <v>133</v>
      </c>
      <c r="G71" s="111" t="s">
        <v>134</v>
      </c>
      <c r="H71" s="112" t="s">
        <v>135</v>
      </c>
      <c r="I71" s="111" t="s">
        <v>136</v>
      </c>
      <c r="J71" s="112" t="s">
        <v>158</v>
      </c>
      <c r="K71" s="111" t="s">
        <v>159</v>
      </c>
      <c r="L71" s="112" t="s">
        <v>160</v>
      </c>
      <c r="M71" s="111"/>
      <c r="N71" s="112"/>
      <c r="O71" s="111"/>
      <c r="P71" s="191"/>
      <c r="X71" s="78"/>
      <c r="Z71" s="66"/>
      <c r="AA71" s="95" t="s">
        <v>97</v>
      </c>
      <c r="AB71" s="51">
        <f t="shared" si="48"/>
        <v>4.7</v>
      </c>
      <c r="AC71" s="51">
        <f t="shared" si="49"/>
        <v>4.9000000000000004</v>
      </c>
      <c r="AD71" s="51">
        <f t="shared" si="50"/>
        <v>7.8000000000000007</v>
      </c>
      <c r="AE71" s="51">
        <f t="shared" si="51"/>
        <v>4.7</v>
      </c>
      <c r="AF71" s="51">
        <f t="shared" si="52"/>
        <v>4.9000000000000004</v>
      </c>
      <c r="AG71" s="51">
        <f t="shared" si="53"/>
        <v>7.8000000000000007</v>
      </c>
      <c r="AH71" s="51">
        <f t="shared" si="54"/>
        <v>4.7</v>
      </c>
      <c r="AI71" s="51">
        <f t="shared" si="55"/>
        <v>4.9000000000000004</v>
      </c>
      <c r="AJ71" s="51">
        <f t="shared" si="56"/>
        <v>7.8000000000000007</v>
      </c>
      <c r="AK71" s="51">
        <f t="shared" si="57"/>
        <v>4.7</v>
      </c>
      <c r="AL71" s="51">
        <f t="shared" si="58"/>
        <v>4.9000000000000004</v>
      </c>
      <c r="AM71" s="51">
        <f t="shared" si="59"/>
        <v>7.8000000000000007</v>
      </c>
      <c r="AN71" s="51">
        <f t="shared" si="60"/>
        <v>4.7</v>
      </c>
      <c r="AO71" s="51">
        <f t="shared" si="61"/>
        <v>4.9000000000000004</v>
      </c>
      <c r="AP71" s="51">
        <f t="shared" si="62"/>
        <v>7.8000000000000007</v>
      </c>
      <c r="AQ71" s="51">
        <f t="shared" si="63"/>
        <v>4.7</v>
      </c>
      <c r="AR71" s="51">
        <f t="shared" si="64"/>
        <v>4.9000000000000004</v>
      </c>
      <c r="AS71" s="51">
        <f t="shared" si="65"/>
        <v>7.8000000000000007</v>
      </c>
      <c r="AT71" s="51">
        <f t="shared" si="66"/>
        <v>4.7</v>
      </c>
      <c r="AU71" s="51">
        <f t="shared" si="67"/>
        <v>4.9000000000000004</v>
      </c>
      <c r="AV71" s="51">
        <f t="shared" si="68"/>
        <v>7.8000000000000007</v>
      </c>
      <c r="AW71" s="51">
        <f t="shared" si="69"/>
        <v>4.7</v>
      </c>
      <c r="AX71" s="51">
        <f t="shared" si="70"/>
        <v>4.9000000000000004</v>
      </c>
      <c r="AY71" s="51">
        <f t="shared" si="71"/>
        <v>7.8000000000000007</v>
      </c>
      <c r="AZ71" s="51">
        <f t="shared" si="72"/>
        <v>4.7</v>
      </c>
      <c r="BA71" s="51">
        <f t="shared" si="73"/>
        <v>4.9000000000000004</v>
      </c>
      <c r="BB71" s="51">
        <f t="shared" si="74"/>
        <v>7.8000000000000007</v>
      </c>
      <c r="BC71" s="51">
        <f t="shared" si="75"/>
        <v>7.4</v>
      </c>
      <c r="BD71" s="51">
        <f t="shared" si="76"/>
        <v>6.4</v>
      </c>
      <c r="BE71" s="51">
        <f t="shared" si="77"/>
        <v>11.4</v>
      </c>
      <c r="BF71" s="51">
        <f t="shared" si="78"/>
        <v>0</v>
      </c>
      <c r="BG71" s="51">
        <f t="shared" si="79"/>
        <v>0</v>
      </c>
      <c r="BH71" s="51">
        <f t="shared" si="80"/>
        <v>0</v>
      </c>
      <c r="BI71" s="51">
        <f t="shared" si="81"/>
        <v>0</v>
      </c>
      <c r="BJ71" s="51">
        <f t="shared" si="82"/>
        <v>0</v>
      </c>
      <c r="BK71" s="51">
        <f t="shared" si="83"/>
        <v>0</v>
      </c>
      <c r="BL71" s="51">
        <f t="shared" si="84"/>
        <v>0</v>
      </c>
      <c r="BM71" s="51">
        <f t="shared" si="85"/>
        <v>0</v>
      </c>
      <c r="BN71" s="51">
        <f t="shared" si="86"/>
        <v>0</v>
      </c>
      <c r="BO71" s="51">
        <f t="shared" si="87"/>
        <v>0</v>
      </c>
      <c r="BP71" s="51">
        <f t="shared" si="88"/>
        <v>0</v>
      </c>
      <c r="BQ71" s="51">
        <f t="shared" si="89"/>
        <v>0</v>
      </c>
    </row>
    <row r="72" spans="1:69" ht="14.25" customHeight="1" thickBot="1" x14ac:dyDescent="0.3">
      <c r="A72" s="106"/>
      <c r="B72" s="91" t="s">
        <v>98</v>
      </c>
      <c r="C72" s="116" t="s">
        <v>135</v>
      </c>
      <c r="D72" s="112"/>
      <c r="E72" s="111"/>
      <c r="F72" s="112"/>
      <c r="G72" s="111"/>
      <c r="H72" s="112"/>
      <c r="I72" s="111"/>
      <c r="J72" s="112"/>
      <c r="K72" s="111"/>
      <c r="L72" s="112"/>
      <c r="M72" s="111"/>
      <c r="N72" s="112"/>
      <c r="O72" s="111"/>
      <c r="P72" s="191"/>
      <c r="X72" s="78"/>
      <c r="Z72" s="66"/>
      <c r="AA72" s="95" t="s">
        <v>98</v>
      </c>
      <c r="AB72" s="51">
        <f t="shared" si="48"/>
        <v>0</v>
      </c>
      <c r="AC72" s="51">
        <f t="shared" si="49"/>
        <v>0</v>
      </c>
      <c r="AD72" s="51">
        <f t="shared" si="50"/>
        <v>0</v>
      </c>
      <c r="AE72" s="51">
        <f t="shared" si="51"/>
        <v>0</v>
      </c>
      <c r="AF72" s="51">
        <f t="shared" si="52"/>
        <v>0</v>
      </c>
      <c r="AG72" s="51">
        <f t="shared" si="53"/>
        <v>0</v>
      </c>
      <c r="AH72" s="51">
        <f t="shared" si="54"/>
        <v>0</v>
      </c>
      <c r="AI72" s="51">
        <f t="shared" si="55"/>
        <v>0</v>
      </c>
      <c r="AJ72" s="51">
        <f t="shared" si="56"/>
        <v>0</v>
      </c>
      <c r="AK72" s="51">
        <f t="shared" si="57"/>
        <v>0</v>
      </c>
      <c r="AL72" s="51">
        <f t="shared" si="58"/>
        <v>0</v>
      </c>
      <c r="AM72" s="51">
        <f t="shared" si="59"/>
        <v>0</v>
      </c>
      <c r="AN72" s="51">
        <f t="shared" si="60"/>
        <v>0</v>
      </c>
      <c r="AO72" s="51">
        <f t="shared" si="61"/>
        <v>0</v>
      </c>
      <c r="AP72" s="51">
        <f t="shared" si="62"/>
        <v>0</v>
      </c>
      <c r="AQ72" s="51">
        <f t="shared" si="63"/>
        <v>2.7</v>
      </c>
      <c r="AR72" s="51">
        <f t="shared" si="64"/>
        <v>0.5</v>
      </c>
      <c r="AS72" s="51">
        <f t="shared" si="65"/>
        <v>2.9</v>
      </c>
      <c r="AT72" s="51">
        <f t="shared" si="66"/>
        <v>0</v>
      </c>
      <c r="AU72" s="51">
        <f t="shared" si="67"/>
        <v>0</v>
      </c>
      <c r="AV72" s="51">
        <f t="shared" si="68"/>
        <v>0</v>
      </c>
      <c r="AW72" s="51">
        <f t="shared" si="69"/>
        <v>0</v>
      </c>
      <c r="AX72" s="51">
        <f t="shared" si="70"/>
        <v>0</v>
      </c>
      <c r="AY72" s="51">
        <f t="shared" si="71"/>
        <v>0</v>
      </c>
      <c r="AZ72" s="51">
        <f t="shared" si="72"/>
        <v>0</v>
      </c>
      <c r="BA72" s="51">
        <f t="shared" si="73"/>
        <v>0</v>
      </c>
      <c r="BB72" s="51">
        <f t="shared" si="74"/>
        <v>0</v>
      </c>
      <c r="BC72" s="51">
        <f t="shared" si="75"/>
        <v>0</v>
      </c>
      <c r="BD72" s="51">
        <f t="shared" si="76"/>
        <v>0</v>
      </c>
      <c r="BE72" s="51">
        <f t="shared" si="77"/>
        <v>0</v>
      </c>
      <c r="BF72" s="51">
        <f t="shared" si="78"/>
        <v>0</v>
      </c>
      <c r="BG72" s="51">
        <f t="shared" si="79"/>
        <v>0</v>
      </c>
      <c r="BH72" s="51">
        <f t="shared" si="80"/>
        <v>0</v>
      </c>
      <c r="BI72" s="51">
        <f t="shared" si="81"/>
        <v>0</v>
      </c>
      <c r="BJ72" s="51">
        <f t="shared" si="82"/>
        <v>0</v>
      </c>
      <c r="BK72" s="51">
        <f t="shared" si="83"/>
        <v>0</v>
      </c>
      <c r="BL72" s="51">
        <f t="shared" si="84"/>
        <v>0</v>
      </c>
      <c r="BM72" s="51">
        <f t="shared" si="85"/>
        <v>0</v>
      </c>
      <c r="BN72" s="51">
        <f t="shared" si="86"/>
        <v>0</v>
      </c>
      <c r="BO72" s="51">
        <f t="shared" si="87"/>
        <v>0</v>
      </c>
      <c r="BP72" s="51">
        <f t="shared" si="88"/>
        <v>0</v>
      </c>
      <c r="BQ72" s="51">
        <f t="shared" si="89"/>
        <v>0</v>
      </c>
    </row>
    <row r="73" spans="1:69" ht="14.25" hidden="1" customHeight="1" thickBot="1" x14ac:dyDescent="0.3">
      <c r="A73" s="106"/>
      <c r="B73" s="91" t="s">
        <v>99</v>
      </c>
      <c r="C73" s="116"/>
      <c r="D73" s="112"/>
      <c r="E73" s="111"/>
      <c r="F73" s="112"/>
      <c r="G73" s="111"/>
      <c r="H73" s="112"/>
      <c r="I73" s="111"/>
      <c r="J73" s="112"/>
      <c r="K73" s="111"/>
      <c r="L73" s="112"/>
      <c r="M73" s="111"/>
      <c r="N73" s="112"/>
      <c r="O73" s="111"/>
      <c r="P73" s="191"/>
      <c r="X73" s="78"/>
      <c r="Z73" s="66"/>
      <c r="AA73" s="95" t="s">
        <v>99</v>
      </c>
      <c r="AB73" s="51">
        <f t="shared" si="48"/>
        <v>0</v>
      </c>
      <c r="AC73" s="51">
        <f t="shared" si="49"/>
        <v>0</v>
      </c>
      <c r="AD73" s="51">
        <f t="shared" si="50"/>
        <v>0</v>
      </c>
      <c r="AE73" s="51">
        <f t="shared" si="51"/>
        <v>0</v>
      </c>
      <c r="AF73" s="51">
        <f t="shared" si="52"/>
        <v>0</v>
      </c>
      <c r="AG73" s="51">
        <f t="shared" si="53"/>
        <v>0</v>
      </c>
      <c r="AH73" s="51">
        <f t="shared" si="54"/>
        <v>0</v>
      </c>
      <c r="AI73" s="51">
        <f t="shared" si="55"/>
        <v>0</v>
      </c>
      <c r="AJ73" s="51">
        <f t="shared" si="56"/>
        <v>0</v>
      </c>
      <c r="AK73" s="51">
        <f t="shared" si="57"/>
        <v>0</v>
      </c>
      <c r="AL73" s="51">
        <f t="shared" si="58"/>
        <v>0</v>
      </c>
      <c r="AM73" s="51">
        <f t="shared" si="59"/>
        <v>0</v>
      </c>
      <c r="AN73" s="51">
        <f t="shared" si="60"/>
        <v>0</v>
      </c>
      <c r="AO73" s="51">
        <f t="shared" si="61"/>
        <v>0</v>
      </c>
      <c r="AP73" s="51">
        <f t="shared" si="62"/>
        <v>0</v>
      </c>
      <c r="AQ73" s="51">
        <f t="shared" si="63"/>
        <v>0</v>
      </c>
      <c r="AR73" s="51">
        <f t="shared" si="64"/>
        <v>0</v>
      </c>
      <c r="AS73" s="51">
        <f t="shared" si="65"/>
        <v>0</v>
      </c>
      <c r="AT73" s="51">
        <f t="shared" si="66"/>
        <v>0</v>
      </c>
      <c r="AU73" s="51">
        <f t="shared" si="67"/>
        <v>0</v>
      </c>
      <c r="AV73" s="51">
        <f t="shared" si="68"/>
        <v>0</v>
      </c>
      <c r="AW73" s="51">
        <f t="shared" si="69"/>
        <v>0</v>
      </c>
      <c r="AX73" s="51">
        <f t="shared" si="70"/>
        <v>0</v>
      </c>
      <c r="AY73" s="51">
        <f t="shared" si="71"/>
        <v>0</v>
      </c>
      <c r="AZ73" s="51">
        <f t="shared" si="72"/>
        <v>0</v>
      </c>
      <c r="BA73" s="51">
        <f t="shared" si="73"/>
        <v>0</v>
      </c>
      <c r="BB73" s="51">
        <f t="shared" si="74"/>
        <v>0</v>
      </c>
      <c r="BC73" s="51">
        <f t="shared" si="75"/>
        <v>0</v>
      </c>
      <c r="BD73" s="51">
        <f t="shared" si="76"/>
        <v>0</v>
      </c>
      <c r="BE73" s="51">
        <f t="shared" si="77"/>
        <v>0</v>
      </c>
      <c r="BF73" s="51">
        <f t="shared" si="78"/>
        <v>0</v>
      </c>
      <c r="BG73" s="51">
        <f t="shared" si="79"/>
        <v>0</v>
      </c>
      <c r="BH73" s="51">
        <f t="shared" si="80"/>
        <v>0</v>
      </c>
      <c r="BI73" s="51">
        <f t="shared" si="81"/>
        <v>0</v>
      </c>
      <c r="BJ73" s="51">
        <f t="shared" si="82"/>
        <v>0</v>
      </c>
      <c r="BK73" s="51">
        <f t="shared" si="83"/>
        <v>0</v>
      </c>
      <c r="BL73" s="51">
        <f t="shared" si="84"/>
        <v>0</v>
      </c>
      <c r="BM73" s="51">
        <f t="shared" si="85"/>
        <v>0</v>
      </c>
      <c r="BN73" s="51">
        <f t="shared" si="86"/>
        <v>0</v>
      </c>
      <c r="BO73" s="51">
        <f t="shared" si="87"/>
        <v>0</v>
      </c>
      <c r="BP73" s="51">
        <f t="shared" si="88"/>
        <v>0</v>
      </c>
      <c r="BQ73" s="51">
        <f t="shared" si="89"/>
        <v>0</v>
      </c>
    </row>
    <row r="74" spans="1:69" ht="14.25" hidden="1" customHeight="1" thickBot="1" x14ac:dyDescent="0.3">
      <c r="A74" s="106"/>
      <c r="B74" s="91" t="s">
        <v>100</v>
      </c>
      <c r="C74" s="116"/>
      <c r="D74" s="112"/>
      <c r="E74" s="111"/>
      <c r="F74" s="112"/>
      <c r="G74" s="111"/>
      <c r="H74" s="112"/>
      <c r="I74" s="111"/>
      <c r="J74" s="112"/>
      <c r="K74" s="111"/>
      <c r="L74" s="112"/>
      <c r="M74" s="111"/>
      <c r="N74" s="112"/>
      <c r="O74" s="111"/>
      <c r="P74" s="191"/>
      <c r="X74" s="78"/>
      <c r="AA74" s="95" t="s">
        <v>100</v>
      </c>
      <c r="AB74" s="51">
        <f t="shared" si="48"/>
        <v>0</v>
      </c>
      <c r="AC74" s="51">
        <f t="shared" si="49"/>
        <v>0</v>
      </c>
      <c r="AD74" s="51">
        <f t="shared" si="50"/>
        <v>0</v>
      </c>
      <c r="AE74" s="51">
        <f t="shared" si="51"/>
        <v>0</v>
      </c>
      <c r="AF74" s="51">
        <f t="shared" si="52"/>
        <v>0</v>
      </c>
      <c r="AG74" s="51">
        <f t="shared" si="53"/>
        <v>0</v>
      </c>
      <c r="AH74" s="51">
        <f t="shared" si="54"/>
        <v>0</v>
      </c>
      <c r="AI74" s="51">
        <f t="shared" si="55"/>
        <v>0</v>
      </c>
      <c r="AJ74" s="51">
        <f t="shared" si="56"/>
        <v>0</v>
      </c>
      <c r="AK74" s="51">
        <f t="shared" si="57"/>
        <v>0</v>
      </c>
      <c r="AL74" s="51">
        <f t="shared" si="58"/>
        <v>0</v>
      </c>
      <c r="AM74" s="51">
        <f t="shared" si="59"/>
        <v>0</v>
      </c>
      <c r="AN74" s="51">
        <f t="shared" si="60"/>
        <v>0</v>
      </c>
      <c r="AO74" s="51">
        <f t="shared" si="61"/>
        <v>0</v>
      </c>
      <c r="AP74" s="51">
        <f t="shared" si="62"/>
        <v>0</v>
      </c>
      <c r="AQ74" s="51">
        <f t="shared" si="63"/>
        <v>0</v>
      </c>
      <c r="AR74" s="51">
        <f t="shared" si="64"/>
        <v>0</v>
      </c>
      <c r="AS74" s="51">
        <f t="shared" si="65"/>
        <v>0</v>
      </c>
      <c r="AT74" s="51">
        <f t="shared" si="66"/>
        <v>0</v>
      </c>
      <c r="AU74" s="51">
        <f t="shared" si="67"/>
        <v>0</v>
      </c>
      <c r="AV74" s="51">
        <f t="shared" si="68"/>
        <v>0</v>
      </c>
      <c r="AW74" s="51">
        <f t="shared" si="69"/>
        <v>0</v>
      </c>
      <c r="AX74" s="51">
        <f t="shared" si="70"/>
        <v>0</v>
      </c>
      <c r="AY74" s="51">
        <f t="shared" si="71"/>
        <v>0</v>
      </c>
      <c r="AZ74" s="51">
        <f t="shared" si="72"/>
        <v>0</v>
      </c>
      <c r="BA74" s="51">
        <f t="shared" si="73"/>
        <v>0</v>
      </c>
      <c r="BB74" s="51">
        <f t="shared" si="74"/>
        <v>0</v>
      </c>
      <c r="BC74" s="51">
        <f t="shared" si="75"/>
        <v>0</v>
      </c>
      <c r="BD74" s="51">
        <f t="shared" si="76"/>
        <v>0</v>
      </c>
      <c r="BE74" s="51">
        <f t="shared" si="77"/>
        <v>0</v>
      </c>
      <c r="BF74" s="51">
        <f t="shared" si="78"/>
        <v>0</v>
      </c>
      <c r="BG74" s="51">
        <f t="shared" si="79"/>
        <v>0</v>
      </c>
      <c r="BH74" s="51">
        <f t="shared" si="80"/>
        <v>0</v>
      </c>
      <c r="BI74" s="51">
        <f t="shared" si="81"/>
        <v>0</v>
      </c>
      <c r="BJ74" s="51">
        <f t="shared" si="82"/>
        <v>0</v>
      </c>
      <c r="BK74" s="51">
        <f t="shared" si="83"/>
        <v>0</v>
      </c>
      <c r="BL74" s="51">
        <f t="shared" si="84"/>
        <v>0</v>
      </c>
      <c r="BM74" s="51">
        <f t="shared" si="85"/>
        <v>0</v>
      </c>
      <c r="BN74" s="51">
        <f t="shared" si="86"/>
        <v>0</v>
      </c>
      <c r="BO74" s="51">
        <f t="shared" si="87"/>
        <v>0</v>
      </c>
      <c r="BP74" s="51">
        <f t="shared" si="88"/>
        <v>0</v>
      </c>
      <c r="BQ74" s="51">
        <f t="shared" si="89"/>
        <v>0</v>
      </c>
    </row>
    <row r="75" spans="1:69" ht="14.25" hidden="1" customHeight="1" thickBot="1" x14ac:dyDescent="0.3">
      <c r="A75" s="106"/>
      <c r="B75" s="91" t="s">
        <v>101</v>
      </c>
      <c r="C75" s="116"/>
      <c r="D75" s="112"/>
      <c r="E75" s="111"/>
      <c r="F75" s="112"/>
      <c r="G75" s="111"/>
      <c r="H75" s="112"/>
      <c r="I75" s="111"/>
      <c r="J75" s="112"/>
      <c r="K75" s="111"/>
      <c r="L75" s="112"/>
      <c r="M75" s="111"/>
      <c r="N75" s="112"/>
      <c r="O75" s="111"/>
      <c r="P75" s="191"/>
      <c r="X75" s="78"/>
      <c r="Z75" s="66"/>
      <c r="AA75" s="95" t="s">
        <v>101</v>
      </c>
      <c r="AB75" s="51">
        <f t="shared" si="48"/>
        <v>0</v>
      </c>
      <c r="AC75" s="51">
        <f t="shared" si="49"/>
        <v>0</v>
      </c>
      <c r="AD75" s="51">
        <f t="shared" si="50"/>
        <v>0</v>
      </c>
      <c r="AE75" s="51">
        <f t="shared" si="51"/>
        <v>0</v>
      </c>
      <c r="AF75" s="51">
        <f t="shared" si="52"/>
        <v>0</v>
      </c>
      <c r="AG75" s="51">
        <f t="shared" si="53"/>
        <v>0</v>
      </c>
      <c r="AH75" s="51">
        <f t="shared" si="54"/>
        <v>0</v>
      </c>
      <c r="AI75" s="51">
        <f t="shared" si="55"/>
        <v>0</v>
      </c>
      <c r="AJ75" s="51">
        <f t="shared" si="56"/>
        <v>0</v>
      </c>
      <c r="AK75" s="51">
        <f t="shared" si="57"/>
        <v>0</v>
      </c>
      <c r="AL75" s="51">
        <f t="shared" si="58"/>
        <v>0</v>
      </c>
      <c r="AM75" s="51">
        <f t="shared" si="59"/>
        <v>0</v>
      </c>
      <c r="AN75" s="51">
        <f t="shared" si="60"/>
        <v>0</v>
      </c>
      <c r="AO75" s="51">
        <f t="shared" si="61"/>
        <v>0</v>
      </c>
      <c r="AP75" s="51">
        <f t="shared" si="62"/>
        <v>0</v>
      </c>
      <c r="AQ75" s="51">
        <f t="shared" si="63"/>
        <v>0</v>
      </c>
      <c r="AR75" s="51">
        <f t="shared" si="64"/>
        <v>0</v>
      </c>
      <c r="AS75" s="51">
        <f t="shared" si="65"/>
        <v>0</v>
      </c>
      <c r="AT75" s="51">
        <f t="shared" si="66"/>
        <v>0</v>
      </c>
      <c r="AU75" s="51">
        <f t="shared" si="67"/>
        <v>0</v>
      </c>
      <c r="AV75" s="51">
        <f t="shared" si="68"/>
        <v>0</v>
      </c>
      <c r="AW75" s="51">
        <f t="shared" si="69"/>
        <v>0</v>
      </c>
      <c r="AX75" s="51">
        <f t="shared" si="70"/>
        <v>0</v>
      </c>
      <c r="AY75" s="51">
        <f t="shared" si="71"/>
        <v>0</v>
      </c>
      <c r="AZ75" s="51">
        <f t="shared" si="72"/>
        <v>0</v>
      </c>
      <c r="BA75" s="51">
        <f t="shared" si="73"/>
        <v>0</v>
      </c>
      <c r="BB75" s="51">
        <f t="shared" si="74"/>
        <v>0</v>
      </c>
      <c r="BC75" s="51">
        <f t="shared" si="75"/>
        <v>0</v>
      </c>
      <c r="BD75" s="51">
        <f t="shared" si="76"/>
        <v>0</v>
      </c>
      <c r="BE75" s="51">
        <f t="shared" si="77"/>
        <v>0</v>
      </c>
      <c r="BF75" s="51">
        <f t="shared" si="78"/>
        <v>0</v>
      </c>
      <c r="BG75" s="51">
        <f t="shared" si="79"/>
        <v>0</v>
      </c>
      <c r="BH75" s="51">
        <f t="shared" si="80"/>
        <v>0</v>
      </c>
      <c r="BI75" s="51">
        <f t="shared" si="81"/>
        <v>0</v>
      </c>
      <c r="BJ75" s="51">
        <f t="shared" si="82"/>
        <v>0</v>
      </c>
      <c r="BK75" s="51">
        <f t="shared" si="83"/>
        <v>0</v>
      </c>
      <c r="BL75" s="51">
        <f t="shared" si="84"/>
        <v>0</v>
      </c>
      <c r="BM75" s="51">
        <f t="shared" si="85"/>
        <v>0</v>
      </c>
      <c r="BN75" s="51">
        <f t="shared" si="86"/>
        <v>0</v>
      </c>
      <c r="BO75" s="51">
        <f t="shared" si="87"/>
        <v>0</v>
      </c>
      <c r="BP75" s="51">
        <f t="shared" si="88"/>
        <v>0</v>
      </c>
      <c r="BQ75" s="51">
        <f t="shared" si="89"/>
        <v>0</v>
      </c>
    </row>
    <row r="76" spans="1:69" ht="14.25" hidden="1" customHeight="1" thickBot="1" x14ac:dyDescent="0.3">
      <c r="A76" s="106"/>
      <c r="B76" s="91" t="s">
        <v>102</v>
      </c>
      <c r="C76" s="116"/>
      <c r="D76" s="112"/>
      <c r="E76" s="111"/>
      <c r="F76" s="112"/>
      <c r="G76" s="111"/>
      <c r="H76" s="112"/>
      <c r="I76" s="111"/>
      <c r="J76" s="112"/>
      <c r="K76" s="111"/>
      <c r="L76" s="112"/>
      <c r="M76" s="111"/>
      <c r="N76" s="112"/>
      <c r="O76" s="111"/>
      <c r="P76" s="191"/>
      <c r="X76" s="78"/>
      <c r="Z76" s="66"/>
      <c r="AA76" s="95" t="s">
        <v>102</v>
      </c>
      <c r="AB76" s="51">
        <f t="shared" si="48"/>
        <v>0</v>
      </c>
      <c r="AC76" s="51">
        <f t="shared" si="49"/>
        <v>0</v>
      </c>
      <c r="AD76" s="51">
        <f t="shared" si="50"/>
        <v>0</v>
      </c>
      <c r="AE76" s="51">
        <f t="shared" si="51"/>
        <v>0</v>
      </c>
      <c r="AF76" s="51">
        <f t="shared" si="52"/>
        <v>0</v>
      </c>
      <c r="AG76" s="51">
        <f t="shared" si="53"/>
        <v>0</v>
      </c>
      <c r="AH76" s="51">
        <f t="shared" si="54"/>
        <v>0</v>
      </c>
      <c r="AI76" s="51">
        <f t="shared" si="55"/>
        <v>0</v>
      </c>
      <c r="AJ76" s="51">
        <f t="shared" si="56"/>
        <v>0</v>
      </c>
      <c r="AK76" s="51">
        <f t="shared" si="57"/>
        <v>0</v>
      </c>
      <c r="AL76" s="51">
        <f t="shared" si="58"/>
        <v>0</v>
      </c>
      <c r="AM76" s="51">
        <f t="shared" si="59"/>
        <v>0</v>
      </c>
      <c r="AN76" s="51">
        <f t="shared" si="60"/>
        <v>0</v>
      </c>
      <c r="AO76" s="51">
        <f t="shared" si="61"/>
        <v>0</v>
      </c>
      <c r="AP76" s="51">
        <f t="shared" si="62"/>
        <v>0</v>
      </c>
      <c r="AQ76" s="51">
        <f t="shared" si="63"/>
        <v>0</v>
      </c>
      <c r="AR76" s="51">
        <f t="shared" si="64"/>
        <v>0</v>
      </c>
      <c r="AS76" s="51">
        <f t="shared" si="65"/>
        <v>0</v>
      </c>
      <c r="AT76" s="51">
        <f t="shared" si="66"/>
        <v>0</v>
      </c>
      <c r="AU76" s="51">
        <f t="shared" si="67"/>
        <v>0</v>
      </c>
      <c r="AV76" s="51">
        <f t="shared" si="68"/>
        <v>0</v>
      </c>
      <c r="AW76" s="51">
        <f t="shared" si="69"/>
        <v>0</v>
      </c>
      <c r="AX76" s="51">
        <f t="shared" si="70"/>
        <v>0</v>
      </c>
      <c r="AY76" s="51">
        <f t="shared" si="71"/>
        <v>0</v>
      </c>
      <c r="AZ76" s="51">
        <f t="shared" si="72"/>
        <v>0</v>
      </c>
      <c r="BA76" s="51">
        <f t="shared" si="73"/>
        <v>0</v>
      </c>
      <c r="BB76" s="51">
        <f t="shared" si="74"/>
        <v>0</v>
      </c>
      <c r="BC76" s="51">
        <f t="shared" si="75"/>
        <v>0</v>
      </c>
      <c r="BD76" s="51">
        <f t="shared" si="76"/>
        <v>0</v>
      </c>
      <c r="BE76" s="51">
        <f t="shared" si="77"/>
        <v>0</v>
      </c>
      <c r="BF76" s="51">
        <f t="shared" si="78"/>
        <v>0</v>
      </c>
      <c r="BG76" s="51">
        <f t="shared" si="79"/>
        <v>0</v>
      </c>
      <c r="BH76" s="51">
        <f t="shared" si="80"/>
        <v>0</v>
      </c>
      <c r="BI76" s="51">
        <f t="shared" si="81"/>
        <v>0</v>
      </c>
      <c r="BJ76" s="51">
        <f t="shared" si="82"/>
        <v>0</v>
      </c>
      <c r="BK76" s="51">
        <f t="shared" si="83"/>
        <v>0</v>
      </c>
      <c r="BL76" s="51">
        <f t="shared" si="84"/>
        <v>0</v>
      </c>
      <c r="BM76" s="51">
        <f t="shared" si="85"/>
        <v>0</v>
      </c>
      <c r="BN76" s="51">
        <f t="shared" si="86"/>
        <v>0</v>
      </c>
      <c r="BO76" s="51">
        <f t="shared" si="87"/>
        <v>0</v>
      </c>
      <c r="BP76" s="51">
        <f t="shared" si="88"/>
        <v>0</v>
      </c>
      <c r="BQ76" s="51">
        <f t="shared" si="89"/>
        <v>0</v>
      </c>
    </row>
    <row r="77" spans="1:69" ht="14.25" hidden="1" customHeight="1" thickBot="1" x14ac:dyDescent="0.3">
      <c r="A77" s="106"/>
      <c r="B77" s="91" t="s">
        <v>103</v>
      </c>
      <c r="C77" s="116"/>
      <c r="D77" s="112"/>
      <c r="E77" s="111"/>
      <c r="F77" s="112"/>
      <c r="G77" s="111"/>
      <c r="H77" s="112"/>
      <c r="I77" s="111"/>
      <c r="J77" s="112"/>
      <c r="K77" s="111"/>
      <c r="L77" s="112"/>
      <c r="M77" s="111"/>
      <c r="N77" s="112"/>
      <c r="O77" s="111"/>
      <c r="P77" s="191"/>
      <c r="X77" s="78"/>
      <c r="Z77" s="66"/>
      <c r="AA77" s="95" t="s">
        <v>103</v>
      </c>
      <c r="AB77" s="51">
        <f t="shared" si="48"/>
        <v>0</v>
      </c>
      <c r="AC77" s="51">
        <f t="shared" si="49"/>
        <v>0</v>
      </c>
      <c r="AD77" s="51">
        <f t="shared" si="50"/>
        <v>0</v>
      </c>
      <c r="AE77" s="51">
        <f t="shared" si="51"/>
        <v>0</v>
      </c>
      <c r="AF77" s="51">
        <f t="shared" si="52"/>
        <v>0</v>
      </c>
      <c r="AG77" s="51">
        <f t="shared" si="53"/>
        <v>0</v>
      </c>
      <c r="AH77" s="51">
        <f t="shared" si="54"/>
        <v>0</v>
      </c>
      <c r="AI77" s="51">
        <f t="shared" si="55"/>
        <v>0</v>
      </c>
      <c r="AJ77" s="51">
        <f t="shared" si="56"/>
        <v>0</v>
      </c>
      <c r="AK77" s="51">
        <f t="shared" si="57"/>
        <v>0</v>
      </c>
      <c r="AL77" s="51">
        <f t="shared" si="58"/>
        <v>0</v>
      </c>
      <c r="AM77" s="51">
        <f t="shared" si="59"/>
        <v>0</v>
      </c>
      <c r="AN77" s="51">
        <f t="shared" si="60"/>
        <v>0</v>
      </c>
      <c r="AO77" s="51">
        <f t="shared" si="61"/>
        <v>0</v>
      </c>
      <c r="AP77" s="51">
        <f t="shared" si="62"/>
        <v>0</v>
      </c>
      <c r="AQ77" s="51">
        <f t="shared" si="63"/>
        <v>0</v>
      </c>
      <c r="AR77" s="51">
        <f t="shared" si="64"/>
        <v>0</v>
      </c>
      <c r="AS77" s="51">
        <f t="shared" si="65"/>
        <v>0</v>
      </c>
      <c r="AT77" s="51">
        <f t="shared" si="66"/>
        <v>0</v>
      </c>
      <c r="AU77" s="51">
        <f t="shared" si="67"/>
        <v>0</v>
      </c>
      <c r="AV77" s="51">
        <f t="shared" si="68"/>
        <v>0</v>
      </c>
      <c r="AW77" s="51">
        <f t="shared" si="69"/>
        <v>0</v>
      </c>
      <c r="AX77" s="51">
        <f t="shared" si="70"/>
        <v>0</v>
      </c>
      <c r="AY77" s="51">
        <f t="shared" si="71"/>
        <v>0</v>
      </c>
      <c r="AZ77" s="51">
        <f t="shared" si="72"/>
        <v>0</v>
      </c>
      <c r="BA77" s="51">
        <f t="shared" si="73"/>
        <v>0</v>
      </c>
      <c r="BB77" s="51">
        <f t="shared" si="74"/>
        <v>0</v>
      </c>
      <c r="BC77" s="51">
        <f t="shared" si="75"/>
        <v>0</v>
      </c>
      <c r="BD77" s="51">
        <f t="shared" si="76"/>
        <v>0</v>
      </c>
      <c r="BE77" s="51">
        <f t="shared" si="77"/>
        <v>0</v>
      </c>
      <c r="BF77" s="51">
        <f t="shared" si="78"/>
        <v>0</v>
      </c>
      <c r="BG77" s="51">
        <f t="shared" si="79"/>
        <v>0</v>
      </c>
      <c r="BH77" s="51">
        <f t="shared" si="80"/>
        <v>0</v>
      </c>
      <c r="BI77" s="51">
        <f t="shared" si="81"/>
        <v>0</v>
      </c>
      <c r="BJ77" s="51">
        <f t="shared" si="82"/>
        <v>0</v>
      </c>
      <c r="BK77" s="51">
        <f t="shared" si="83"/>
        <v>0</v>
      </c>
      <c r="BL77" s="51">
        <f t="shared" si="84"/>
        <v>0</v>
      </c>
      <c r="BM77" s="51">
        <f t="shared" si="85"/>
        <v>0</v>
      </c>
      <c r="BN77" s="51">
        <f t="shared" si="86"/>
        <v>0</v>
      </c>
      <c r="BO77" s="51">
        <f t="shared" si="87"/>
        <v>0</v>
      </c>
      <c r="BP77" s="51">
        <f t="shared" si="88"/>
        <v>0</v>
      </c>
      <c r="BQ77" s="51">
        <f t="shared" si="89"/>
        <v>0</v>
      </c>
    </row>
    <row r="78" spans="1:69" ht="14.25" hidden="1" customHeight="1" thickBot="1" x14ac:dyDescent="0.3">
      <c r="A78" s="106"/>
      <c r="B78" s="91" t="s">
        <v>104</v>
      </c>
      <c r="C78" s="116"/>
      <c r="D78" s="112"/>
      <c r="E78" s="111"/>
      <c r="F78" s="112"/>
      <c r="G78" s="111"/>
      <c r="H78" s="112"/>
      <c r="I78" s="111"/>
      <c r="J78" s="112"/>
      <c r="K78" s="111"/>
      <c r="L78" s="112"/>
      <c r="M78" s="111"/>
      <c r="N78" s="112"/>
      <c r="O78" s="111"/>
      <c r="P78" s="191"/>
      <c r="X78" s="78"/>
      <c r="Z78" s="66"/>
      <c r="AA78" s="95" t="s">
        <v>104</v>
      </c>
      <c r="AB78" s="51">
        <f t="shared" si="48"/>
        <v>0</v>
      </c>
      <c r="AC78" s="51">
        <f t="shared" si="49"/>
        <v>0</v>
      </c>
      <c r="AD78" s="51">
        <f t="shared" si="50"/>
        <v>0</v>
      </c>
      <c r="AE78" s="51">
        <f t="shared" si="51"/>
        <v>0</v>
      </c>
      <c r="AF78" s="51">
        <f t="shared" si="52"/>
        <v>0</v>
      </c>
      <c r="AG78" s="51">
        <f t="shared" si="53"/>
        <v>0</v>
      </c>
      <c r="AH78" s="51">
        <f t="shared" si="54"/>
        <v>0</v>
      </c>
      <c r="AI78" s="51">
        <f t="shared" si="55"/>
        <v>0</v>
      </c>
      <c r="AJ78" s="51">
        <f t="shared" si="56"/>
        <v>0</v>
      </c>
      <c r="AK78" s="51">
        <f t="shared" si="57"/>
        <v>0</v>
      </c>
      <c r="AL78" s="51">
        <f t="shared" si="58"/>
        <v>0</v>
      </c>
      <c r="AM78" s="51">
        <f t="shared" si="59"/>
        <v>0</v>
      </c>
      <c r="AN78" s="51">
        <f t="shared" si="60"/>
        <v>0</v>
      </c>
      <c r="AO78" s="51">
        <f t="shared" si="61"/>
        <v>0</v>
      </c>
      <c r="AP78" s="51">
        <f t="shared" si="62"/>
        <v>0</v>
      </c>
      <c r="AQ78" s="51">
        <f t="shared" si="63"/>
        <v>0</v>
      </c>
      <c r="AR78" s="51">
        <f t="shared" si="64"/>
        <v>0</v>
      </c>
      <c r="AS78" s="51">
        <f t="shared" si="65"/>
        <v>0</v>
      </c>
      <c r="AT78" s="51">
        <f t="shared" si="66"/>
        <v>0</v>
      </c>
      <c r="AU78" s="51">
        <f t="shared" si="67"/>
        <v>0</v>
      </c>
      <c r="AV78" s="51">
        <f t="shared" si="68"/>
        <v>0</v>
      </c>
      <c r="AW78" s="51">
        <f t="shared" si="69"/>
        <v>0</v>
      </c>
      <c r="AX78" s="51">
        <f t="shared" si="70"/>
        <v>0</v>
      </c>
      <c r="AY78" s="51">
        <f t="shared" si="71"/>
        <v>0</v>
      </c>
      <c r="AZ78" s="51">
        <f t="shared" si="72"/>
        <v>0</v>
      </c>
      <c r="BA78" s="51">
        <f t="shared" si="73"/>
        <v>0</v>
      </c>
      <c r="BB78" s="51">
        <f t="shared" si="74"/>
        <v>0</v>
      </c>
      <c r="BC78" s="51">
        <f t="shared" si="75"/>
        <v>0</v>
      </c>
      <c r="BD78" s="51">
        <f t="shared" si="76"/>
        <v>0</v>
      </c>
      <c r="BE78" s="51">
        <f t="shared" si="77"/>
        <v>0</v>
      </c>
      <c r="BF78" s="51">
        <f t="shared" si="78"/>
        <v>0</v>
      </c>
      <c r="BG78" s="51">
        <f t="shared" si="79"/>
        <v>0</v>
      </c>
      <c r="BH78" s="51">
        <f t="shared" si="80"/>
        <v>0</v>
      </c>
      <c r="BI78" s="51">
        <f t="shared" si="81"/>
        <v>0</v>
      </c>
      <c r="BJ78" s="51">
        <f t="shared" si="82"/>
        <v>0</v>
      </c>
      <c r="BK78" s="51">
        <f t="shared" si="83"/>
        <v>0</v>
      </c>
      <c r="BL78" s="51">
        <f t="shared" si="84"/>
        <v>0</v>
      </c>
      <c r="BM78" s="51">
        <f t="shared" si="85"/>
        <v>0</v>
      </c>
      <c r="BN78" s="51">
        <f t="shared" si="86"/>
        <v>0</v>
      </c>
      <c r="BO78" s="51">
        <f t="shared" si="87"/>
        <v>0</v>
      </c>
      <c r="BP78" s="51">
        <f t="shared" si="88"/>
        <v>0</v>
      </c>
      <c r="BQ78" s="51">
        <f t="shared" si="89"/>
        <v>0</v>
      </c>
    </row>
    <row r="79" spans="1:69" ht="14.25" hidden="1" customHeight="1" thickBot="1" x14ac:dyDescent="0.3">
      <c r="A79" s="106"/>
      <c r="B79" s="91" t="s">
        <v>177</v>
      </c>
      <c r="C79" s="116"/>
      <c r="D79" s="112"/>
      <c r="E79" s="111"/>
      <c r="F79" s="112"/>
      <c r="G79" s="111"/>
      <c r="H79" s="112"/>
      <c r="I79" s="111"/>
      <c r="J79" s="112"/>
      <c r="K79" s="111"/>
      <c r="L79" s="112"/>
      <c r="M79" s="111"/>
      <c r="N79" s="112"/>
      <c r="O79" s="111"/>
      <c r="P79" s="191"/>
      <c r="X79" s="78"/>
      <c r="Z79" s="78"/>
      <c r="AA79" s="95" t="s">
        <v>177</v>
      </c>
      <c r="AB79" s="51">
        <f t="shared" si="48"/>
        <v>0</v>
      </c>
      <c r="AC79" s="51">
        <f t="shared" si="49"/>
        <v>0</v>
      </c>
      <c r="AD79" s="51">
        <f t="shared" si="50"/>
        <v>0</v>
      </c>
      <c r="AE79" s="51">
        <f t="shared" si="51"/>
        <v>0</v>
      </c>
      <c r="AF79" s="51">
        <f t="shared" si="52"/>
        <v>0</v>
      </c>
      <c r="AG79" s="51">
        <f t="shared" si="53"/>
        <v>0</v>
      </c>
      <c r="AH79" s="51">
        <f t="shared" si="54"/>
        <v>0</v>
      </c>
      <c r="AI79" s="51">
        <f t="shared" si="55"/>
        <v>0</v>
      </c>
      <c r="AJ79" s="51">
        <f t="shared" si="56"/>
        <v>0</v>
      </c>
      <c r="AK79" s="51">
        <f t="shared" si="57"/>
        <v>0</v>
      </c>
      <c r="AL79" s="51">
        <f t="shared" si="58"/>
        <v>0</v>
      </c>
      <c r="AM79" s="51">
        <f t="shared" si="59"/>
        <v>0</v>
      </c>
      <c r="AN79" s="51">
        <f t="shared" si="60"/>
        <v>0</v>
      </c>
      <c r="AO79" s="51">
        <f t="shared" si="61"/>
        <v>0</v>
      </c>
      <c r="AP79" s="51">
        <f t="shared" si="62"/>
        <v>0</v>
      </c>
      <c r="AQ79" s="51">
        <f t="shared" si="63"/>
        <v>0</v>
      </c>
      <c r="AR79" s="51">
        <f t="shared" si="64"/>
        <v>0</v>
      </c>
      <c r="AS79" s="51">
        <f t="shared" si="65"/>
        <v>0</v>
      </c>
      <c r="AT79" s="51">
        <f t="shared" si="66"/>
        <v>0</v>
      </c>
      <c r="AU79" s="51">
        <f t="shared" si="67"/>
        <v>0</v>
      </c>
      <c r="AV79" s="51">
        <f t="shared" si="68"/>
        <v>0</v>
      </c>
      <c r="AW79" s="51">
        <f t="shared" si="69"/>
        <v>0</v>
      </c>
      <c r="AX79" s="51">
        <f t="shared" si="70"/>
        <v>0</v>
      </c>
      <c r="AY79" s="51">
        <f t="shared" si="71"/>
        <v>0</v>
      </c>
      <c r="AZ79" s="51">
        <f t="shared" si="72"/>
        <v>0</v>
      </c>
      <c r="BA79" s="51">
        <f t="shared" si="73"/>
        <v>0</v>
      </c>
      <c r="BB79" s="51">
        <f t="shared" si="74"/>
        <v>0</v>
      </c>
      <c r="BC79" s="51">
        <f t="shared" si="75"/>
        <v>0</v>
      </c>
      <c r="BD79" s="51">
        <f t="shared" si="76"/>
        <v>0</v>
      </c>
      <c r="BE79" s="51">
        <f t="shared" si="77"/>
        <v>0</v>
      </c>
      <c r="BF79" s="51">
        <f t="shared" si="78"/>
        <v>0</v>
      </c>
      <c r="BG79" s="51">
        <f t="shared" si="79"/>
        <v>0</v>
      </c>
      <c r="BH79" s="51">
        <f t="shared" si="80"/>
        <v>0</v>
      </c>
      <c r="BI79" s="51">
        <f t="shared" si="81"/>
        <v>0</v>
      </c>
      <c r="BJ79" s="51">
        <f t="shared" si="82"/>
        <v>0</v>
      </c>
      <c r="BK79" s="51">
        <f t="shared" si="83"/>
        <v>0</v>
      </c>
      <c r="BL79" s="51">
        <f t="shared" si="84"/>
        <v>0</v>
      </c>
      <c r="BM79" s="51">
        <f t="shared" si="85"/>
        <v>0</v>
      </c>
      <c r="BN79" s="51">
        <f t="shared" si="86"/>
        <v>0</v>
      </c>
      <c r="BO79" s="51">
        <f t="shared" si="87"/>
        <v>0</v>
      </c>
      <c r="BP79" s="51">
        <f t="shared" si="88"/>
        <v>0</v>
      </c>
      <c r="BQ79" s="51">
        <f t="shared" si="89"/>
        <v>0</v>
      </c>
    </row>
    <row r="80" spans="1:69" ht="14.25" hidden="1" customHeight="1" thickBot="1" x14ac:dyDescent="0.3">
      <c r="A80" s="106"/>
      <c r="B80" s="91" t="s">
        <v>178</v>
      </c>
      <c r="C80" s="116"/>
      <c r="D80" s="112"/>
      <c r="E80" s="111"/>
      <c r="F80" s="112"/>
      <c r="G80" s="111"/>
      <c r="H80" s="112"/>
      <c r="I80" s="111"/>
      <c r="J80" s="112"/>
      <c r="K80" s="111"/>
      <c r="L80" s="112"/>
      <c r="M80" s="111"/>
      <c r="N80" s="112"/>
      <c r="O80" s="111"/>
      <c r="P80" s="191"/>
      <c r="X80" s="78"/>
      <c r="Z80" s="78"/>
      <c r="AA80" s="95" t="s">
        <v>178</v>
      </c>
      <c r="AB80" s="51">
        <f t="shared" si="48"/>
        <v>0</v>
      </c>
      <c r="AC80" s="51">
        <f t="shared" si="49"/>
        <v>0</v>
      </c>
      <c r="AD80" s="51">
        <f t="shared" si="50"/>
        <v>0</v>
      </c>
      <c r="AE80" s="51">
        <f t="shared" si="51"/>
        <v>0</v>
      </c>
      <c r="AF80" s="51">
        <f t="shared" si="52"/>
        <v>0</v>
      </c>
      <c r="AG80" s="51">
        <f t="shared" si="53"/>
        <v>0</v>
      </c>
      <c r="AH80" s="51">
        <f t="shared" si="54"/>
        <v>0</v>
      </c>
      <c r="AI80" s="51">
        <f t="shared" si="55"/>
        <v>0</v>
      </c>
      <c r="AJ80" s="51">
        <f t="shared" si="56"/>
        <v>0</v>
      </c>
      <c r="AK80" s="51">
        <f t="shared" si="57"/>
        <v>0</v>
      </c>
      <c r="AL80" s="51">
        <f t="shared" si="58"/>
        <v>0</v>
      </c>
      <c r="AM80" s="51">
        <f t="shared" si="59"/>
        <v>0</v>
      </c>
      <c r="AN80" s="51">
        <f t="shared" si="60"/>
        <v>0</v>
      </c>
      <c r="AO80" s="51">
        <f t="shared" si="61"/>
        <v>0</v>
      </c>
      <c r="AP80" s="51">
        <f t="shared" si="62"/>
        <v>0</v>
      </c>
      <c r="AQ80" s="51">
        <f t="shared" si="63"/>
        <v>0</v>
      </c>
      <c r="AR80" s="51">
        <f t="shared" si="64"/>
        <v>0</v>
      </c>
      <c r="AS80" s="51">
        <f t="shared" si="65"/>
        <v>0</v>
      </c>
      <c r="AT80" s="51">
        <f t="shared" si="66"/>
        <v>0</v>
      </c>
      <c r="AU80" s="51">
        <f t="shared" si="67"/>
        <v>0</v>
      </c>
      <c r="AV80" s="51">
        <f t="shared" si="68"/>
        <v>0</v>
      </c>
      <c r="AW80" s="51">
        <f t="shared" si="69"/>
        <v>0</v>
      </c>
      <c r="AX80" s="51">
        <f t="shared" si="70"/>
        <v>0</v>
      </c>
      <c r="AY80" s="51">
        <f t="shared" si="71"/>
        <v>0</v>
      </c>
      <c r="AZ80" s="51">
        <f t="shared" si="72"/>
        <v>0</v>
      </c>
      <c r="BA80" s="51">
        <f t="shared" si="73"/>
        <v>0</v>
      </c>
      <c r="BB80" s="51">
        <f t="shared" si="74"/>
        <v>0</v>
      </c>
      <c r="BC80" s="51">
        <f t="shared" si="75"/>
        <v>0</v>
      </c>
      <c r="BD80" s="51">
        <f t="shared" si="76"/>
        <v>0</v>
      </c>
      <c r="BE80" s="51">
        <f t="shared" si="77"/>
        <v>0</v>
      </c>
      <c r="BF80" s="51">
        <f t="shared" si="78"/>
        <v>0</v>
      </c>
      <c r="BG80" s="51">
        <f t="shared" si="79"/>
        <v>0</v>
      </c>
      <c r="BH80" s="51">
        <f t="shared" si="80"/>
        <v>0</v>
      </c>
      <c r="BI80" s="51">
        <f t="shared" si="81"/>
        <v>0</v>
      </c>
      <c r="BJ80" s="51">
        <f t="shared" si="82"/>
        <v>0</v>
      </c>
      <c r="BK80" s="51">
        <f t="shared" si="83"/>
        <v>0</v>
      </c>
      <c r="BL80" s="51">
        <f t="shared" si="84"/>
        <v>0</v>
      </c>
      <c r="BM80" s="51">
        <f t="shared" si="85"/>
        <v>0</v>
      </c>
      <c r="BN80" s="51">
        <f t="shared" si="86"/>
        <v>0</v>
      </c>
      <c r="BO80" s="51">
        <f t="shared" si="87"/>
        <v>0</v>
      </c>
      <c r="BP80" s="51">
        <f t="shared" si="88"/>
        <v>0</v>
      </c>
      <c r="BQ80" s="51">
        <f t="shared" si="89"/>
        <v>0</v>
      </c>
    </row>
    <row r="81" spans="1:69" ht="14.25" hidden="1" customHeight="1" thickBot="1" x14ac:dyDescent="0.3">
      <c r="A81" s="106"/>
      <c r="B81" s="91" t="s">
        <v>179</v>
      </c>
      <c r="C81" s="116"/>
      <c r="D81" s="112"/>
      <c r="E81" s="111"/>
      <c r="F81" s="112"/>
      <c r="G81" s="111"/>
      <c r="H81" s="112"/>
      <c r="I81" s="111"/>
      <c r="J81" s="112"/>
      <c r="K81" s="111"/>
      <c r="L81" s="112"/>
      <c r="M81" s="111"/>
      <c r="N81" s="112"/>
      <c r="O81" s="111"/>
      <c r="P81" s="191"/>
      <c r="X81" s="78"/>
      <c r="Z81" s="78"/>
      <c r="AA81" s="95" t="s">
        <v>179</v>
      </c>
      <c r="AB81" s="51">
        <f t="shared" si="48"/>
        <v>0</v>
      </c>
      <c r="AC81" s="51">
        <f t="shared" si="49"/>
        <v>0</v>
      </c>
      <c r="AD81" s="51">
        <f t="shared" si="50"/>
        <v>0</v>
      </c>
      <c r="AE81" s="51">
        <f t="shared" si="51"/>
        <v>0</v>
      </c>
      <c r="AF81" s="51">
        <f t="shared" si="52"/>
        <v>0</v>
      </c>
      <c r="AG81" s="51">
        <f t="shared" si="53"/>
        <v>0</v>
      </c>
      <c r="AH81" s="51">
        <f t="shared" si="54"/>
        <v>0</v>
      </c>
      <c r="AI81" s="51">
        <f t="shared" si="55"/>
        <v>0</v>
      </c>
      <c r="AJ81" s="51">
        <f t="shared" si="56"/>
        <v>0</v>
      </c>
      <c r="AK81" s="51">
        <f t="shared" si="57"/>
        <v>0</v>
      </c>
      <c r="AL81" s="51">
        <f t="shared" si="58"/>
        <v>0</v>
      </c>
      <c r="AM81" s="51">
        <f t="shared" si="59"/>
        <v>0</v>
      </c>
      <c r="AN81" s="51">
        <f t="shared" si="60"/>
        <v>0</v>
      </c>
      <c r="AO81" s="51">
        <f t="shared" si="61"/>
        <v>0</v>
      </c>
      <c r="AP81" s="51">
        <f t="shared" si="62"/>
        <v>0</v>
      </c>
      <c r="AQ81" s="51">
        <f t="shared" si="63"/>
        <v>0</v>
      </c>
      <c r="AR81" s="51">
        <f t="shared" si="64"/>
        <v>0</v>
      </c>
      <c r="AS81" s="51">
        <f t="shared" si="65"/>
        <v>0</v>
      </c>
      <c r="AT81" s="51">
        <f t="shared" si="66"/>
        <v>0</v>
      </c>
      <c r="AU81" s="51">
        <f t="shared" si="67"/>
        <v>0</v>
      </c>
      <c r="AV81" s="51">
        <f t="shared" si="68"/>
        <v>0</v>
      </c>
      <c r="AW81" s="51">
        <f t="shared" si="69"/>
        <v>0</v>
      </c>
      <c r="AX81" s="51">
        <f t="shared" si="70"/>
        <v>0</v>
      </c>
      <c r="AY81" s="51">
        <f t="shared" si="71"/>
        <v>0</v>
      </c>
      <c r="AZ81" s="51">
        <f t="shared" si="72"/>
        <v>0</v>
      </c>
      <c r="BA81" s="51">
        <f t="shared" si="73"/>
        <v>0</v>
      </c>
      <c r="BB81" s="51">
        <f t="shared" si="74"/>
        <v>0</v>
      </c>
      <c r="BC81" s="51">
        <f t="shared" si="75"/>
        <v>0</v>
      </c>
      <c r="BD81" s="51">
        <f t="shared" si="76"/>
        <v>0</v>
      </c>
      <c r="BE81" s="51">
        <f t="shared" si="77"/>
        <v>0</v>
      </c>
      <c r="BF81" s="51">
        <f t="shared" si="78"/>
        <v>0</v>
      </c>
      <c r="BG81" s="51">
        <f t="shared" si="79"/>
        <v>0</v>
      </c>
      <c r="BH81" s="51">
        <f t="shared" si="80"/>
        <v>0</v>
      </c>
      <c r="BI81" s="51">
        <f t="shared" si="81"/>
        <v>0</v>
      </c>
      <c r="BJ81" s="51">
        <f t="shared" si="82"/>
        <v>0</v>
      </c>
      <c r="BK81" s="51">
        <f t="shared" si="83"/>
        <v>0</v>
      </c>
      <c r="BL81" s="51">
        <f t="shared" si="84"/>
        <v>0</v>
      </c>
      <c r="BM81" s="51">
        <f t="shared" si="85"/>
        <v>0</v>
      </c>
      <c r="BN81" s="51">
        <f t="shared" si="86"/>
        <v>0</v>
      </c>
      <c r="BO81" s="51">
        <f t="shared" si="87"/>
        <v>0</v>
      </c>
      <c r="BP81" s="51">
        <f t="shared" si="88"/>
        <v>0</v>
      </c>
      <c r="BQ81" s="51">
        <f t="shared" si="89"/>
        <v>0</v>
      </c>
    </row>
    <row r="82" spans="1:69" ht="14.25" hidden="1" customHeight="1" thickBot="1" x14ac:dyDescent="0.3">
      <c r="A82" s="106"/>
      <c r="B82" s="91" t="s">
        <v>180</v>
      </c>
      <c r="C82" s="116"/>
      <c r="D82" s="112"/>
      <c r="E82" s="111"/>
      <c r="F82" s="112"/>
      <c r="G82" s="111"/>
      <c r="H82" s="112"/>
      <c r="I82" s="111"/>
      <c r="J82" s="112"/>
      <c r="K82" s="111"/>
      <c r="L82" s="112"/>
      <c r="M82" s="111"/>
      <c r="N82" s="112"/>
      <c r="O82" s="111"/>
      <c r="P82" s="191"/>
      <c r="X82" s="78"/>
      <c r="Z82" s="78"/>
      <c r="AA82" s="95" t="s">
        <v>180</v>
      </c>
      <c r="AB82" s="51">
        <f t="shared" si="48"/>
        <v>0</v>
      </c>
      <c r="AC82" s="51">
        <f t="shared" si="49"/>
        <v>0</v>
      </c>
      <c r="AD82" s="51">
        <f t="shared" si="50"/>
        <v>0</v>
      </c>
      <c r="AE82" s="51">
        <f t="shared" si="51"/>
        <v>0</v>
      </c>
      <c r="AF82" s="51">
        <f t="shared" si="52"/>
        <v>0</v>
      </c>
      <c r="AG82" s="51">
        <f t="shared" si="53"/>
        <v>0</v>
      </c>
      <c r="AH82" s="51">
        <f t="shared" si="54"/>
        <v>0</v>
      </c>
      <c r="AI82" s="51">
        <f t="shared" si="55"/>
        <v>0</v>
      </c>
      <c r="AJ82" s="51">
        <f t="shared" si="56"/>
        <v>0</v>
      </c>
      <c r="AK82" s="51">
        <f t="shared" si="57"/>
        <v>0</v>
      </c>
      <c r="AL82" s="51">
        <f t="shared" si="58"/>
        <v>0</v>
      </c>
      <c r="AM82" s="51">
        <f t="shared" si="59"/>
        <v>0</v>
      </c>
      <c r="AN82" s="51">
        <f t="shared" si="60"/>
        <v>0</v>
      </c>
      <c r="AO82" s="51">
        <f t="shared" si="61"/>
        <v>0</v>
      </c>
      <c r="AP82" s="51">
        <f t="shared" si="62"/>
        <v>0</v>
      </c>
      <c r="AQ82" s="51">
        <f t="shared" si="63"/>
        <v>0</v>
      </c>
      <c r="AR82" s="51">
        <f t="shared" si="64"/>
        <v>0</v>
      </c>
      <c r="AS82" s="51">
        <f t="shared" si="65"/>
        <v>0</v>
      </c>
      <c r="AT82" s="51">
        <f t="shared" si="66"/>
        <v>0</v>
      </c>
      <c r="AU82" s="51">
        <f t="shared" si="67"/>
        <v>0</v>
      </c>
      <c r="AV82" s="51">
        <f t="shared" si="68"/>
        <v>0</v>
      </c>
      <c r="AW82" s="51">
        <f t="shared" si="69"/>
        <v>0</v>
      </c>
      <c r="AX82" s="51">
        <f t="shared" si="70"/>
        <v>0</v>
      </c>
      <c r="AY82" s="51">
        <f t="shared" si="71"/>
        <v>0</v>
      </c>
      <c r="AZ82" s="51">
        <f t="shared" si="72"/>
        <v>0</v>
      </c>
      <c r="BA82" s="51">
        <f t="shared" si="73"/>
        <v>0</v>
      </c>
      <c r="BB82" s="51">
        <f t="shared" si="74"/>
        <v>0</v>
      </c>
      <c r="BC82" s="51">
        <f t="shared" si="75"/>
        <v>0</v>
      </c>
      <c r="BD82" s="51">
        <f t="shared" si="76"/>
        <v>0</v>
      </c>
      <c r="BE82" s="51">
        <f t="shared" si="77"/>
        <v>0</v>
      </c>
      <c r="BF82" s="51">
        <f t="shared" si="78"/>
        <v>0</v>
      </c>
      <c r="BG82" s="51">
        <f t="shared" si="79"/>
        <v>0</v>
      </c>
      <c r="BH82" s="51">
        <f t="shared" si="80"/>
        <v>0</v>
      </c>
      <c r="BI82" s="51">
        <f t="shared" si="81"/>
        <v>0</v>
      </c>
      <c r="BJ82" s="51">
        <f t="shared" si="82"/>
        <v>0</v>
      </c>
      <c r="BK82" s="51">
        <f t="shared" si="83"/>
        <v>0</v>
      </c>
      <c r="BL82" s="51">
        <f t="shared" si="84"/>
        <v>0</v>
      </c>
      <c r="BM82" s="51">
        <f t="shared" si="85"/>
        <v>0</v>
      </c>
      <c r="BN82" s="51">
        <f t="shared" si="86"/>
        <v>0</v>
      </c>
      <c r="BO82" s="51">
        <f t="shared" si="87"/>
        <v>0</v>
      </c>
      <c r="BP82" s="51">
        <f t="shared" si="88"/>
        <v>0</v>
      </c>
      <c r="BQ82" s="51">
        <f t="shared" si="89"/>
        <v>0</v>
      </c>
    </row>
    <row r="83" spans="1:69" ht="14.25" hidden="1" customHeight="1" thickBot="1" x14ac:dyDescent="0.3">
      <c r="A83" s="106"/>
      <c r="B83" s="91" t="s">
        <v>181</v>
      </c>
      <c r="C83" s="116"/>
      <c r="D83" s="112"/>
      <c r="E83" s="111"/>
      <c r="F83" s="112"/>
      <c r="G83" s="111"/>
      <c r="H83" s="112"/>
      <c r="I83" s="111"/>
      <c r="J83" s="112"/>
      <c r="K83" s="111"/>
      <c r="L83" s="112"/>
      <c r="M83" s="111"/>
      <c r="N83" s="112"/>
      <c r="O83" s="111"/>
      <c r="P83" s="191"/>
      <c r="X83" s="78"/>
      <c r="Z83" s="78"/>
      <c r="AA83" s="95" t="s">
        <v>181</v>
      </c>
      <c r="AB83" s="51">
        <f t="shared" si="48"/>
        <v>0</v>
      </c>
      <c r="AC83" s="51">
        <f t="shared" si="49"/>
        <v>0</v>
      </c>
      <c r="AD83" s="51">
        <f t="shared" si="50"/>
        <v>0</v>
      </c>
      <c r="AE83" s="51">
        <f t="shared" si="51"/>
        <v>0</v>
      </c>
      <c r="AF83" s="51">
        <f t="shared" si="52"/>
        <v>0</v>
      </c>
      <c r="AG83" s="51">
        <f t="shared" si="53"/>
        <v>0</v>
      </c>
      <c r="AH83" s="51">
        <f t="shared" si="54"/>
        <v>0</v>
      </c>
      <c r="AI83" s="51">
        <f t="shared" si="55"/>
        <v>0</v>
      </c>
      <c r="AJ83" s="51">
        <f t="shared" si="56"/>
        <v>0</v>
      </c>
      <c r="AK83" s="51">
        <f t="shared" si="57"/>
        <v>0</v>
      </c>
      <c r="AL83" s="51">
        <f t="shared" si="58"/>
        <v>0</v>
      </c>
      <c r="AM83" s="51">
        <f t="shared" si="59"/>
        <v>0</v>
      </c>
      <c r="AN83" s="51">
        <f t="shared" si="60"/>
        <v>0</v>
      </c>
      <c r="AO83" s="51">
        <f t="shared" si="61"/>
        <v>0</v>
      </c>
      <c r="AP83" s="51">
        <f t="shared" si="62"/>
        <v>0</v>
      </c>
      <c r="AQ83" s="51">
        <f t="shared" si="63"/>
        <v>0</v>
      </c>
      <c r="AR83" s="51">
        <f t="shared" si="64"/>
        <v>0</v>
      </c>
      <c r="AS83" s="51">
        <f t="shared" si="65"/>
        <v>0</v>
      </c>
      <c r="AT83" s="51">
        <f t="shared" si="66"/>
        <v>0</v>
      </c>
      <c r="AU83" s="51">
        <f t="shared" si="67"/>
        <v>0</v>
      </c>
      <c r="AV83" s="51">
        <f t="shared" si="68"/>
        <v>0</v>
      </c>
      <c r="AW83" s="51">
        <f t="shared" si="69"/>
        <v>0</v>
      </c>
      <c r="AX83" s="51">
        <f t="shared" si="70"/>
        <v>0</v>
      </c>
      <c r="AY83" s="51">
        <f t="shared" si="71"/>
        <v>0</v>
      </c>
      <c r="AZ83" s="51">
        <f t="shared" si="72"/>
        <v>0</v>
      </c>
      <c r="BA83" s="51">
        <f t="shared" si="73"/>
        <v>0</v>
      </c>
      <c r="BB83" s="51">
        <f t="shared" si="74"/>
        <v>0</v>
      </c>
      <c r="BC83" s="51">
        <f t="shared" si="75"/>
        <v>0</v>
      </c>
      <c r="BD83" s="51">
        <f t="shared" si="76"/>
        <v>0</v>
      </c>
      <c r="BE83" s="51">
        <f t="shared" si="77"/>
        <v>0</v>
      </c>
      <c r="BF83" s="51">
        <f t="shared" si="78"/>
        <v>0</v>
      </c>
      <c r="BG83" s="51">
        <f t="shared" si="79"/>
        <v>0</v>
      </c>
      <c r="BH83" s="51">
        <f t="shared" si="80"/>
        <v>0</v>
      </c>
      <c r="BI83" s="51">
        <f t="shared" si="81"/>
        <v>0</v>
      </c>
      <c r="BJ83" s="51">
        <f t="shared" si="82"/>
        <v>0</v>
      </c>
      <c r="BK83" s="51">
        <f t="shared" si="83"/>
        <v>0</v>
      </c>
      <c r="BL83" s="51">
        <f t="shared" si="84"/>
        <v>0</v>
      </c>
      <c r="BM83" s="51">
        <f t="shared" si="85"/>
        <v>0</v>
      </c>
      <c r="BN83" s="51">
        <f t="shared" si="86"/>
        <v>0</v>
      </c>
      <c r="BO83" s="51">
        <f t="shared" si="87"/>
        <v>0</v>
      </c>
      <c r="BP83" s="51">
        <f t="shared" si="88"/>
        <v>0</v>
      </c>
      <c r="BQ83" s="51">
        <f t="shared" si="89"/>
        <v>0</v>
      </c>
    </row>
    <row r="84" spans="1:69" ht="14.25" hidden="1" customHeight="1" thickBot="1" x14ac:dyDescent="0.3">
      <c r="A84" s="106"/>
      <c r="B84" s="91" t="s">
        <v>182</v>
      </c>
      <c r="C84" s="116"/>
      <c r="D84" s="112"/>
      <c r="E84" s="111"/>
      <c r="F84" s="112"/>
      <c r="G84" s="111"/>
      <c r="H84" s="112"/>
      <c r="I84" s="111"/>
      <c r="J84" s="112"/>
      <c r="K84" s="111"/>
      <c r="L84" s="112"/>
      <c r="M84" s="111"/>
      <c r="N84" s="112"/>
      <c r="O84" s="111"/>
      <c r="P84" s="191"/>
      <c r="X84" s="78"/>
      <c r="Z84" s="78"/>
      <c r="AA84" s="95" t="s">
        <v>182</v>
      </c>
      <c r="AB84" s="51">
        <f t="shared" si="48"/>
        <v>0</v>
      </c>
      <c r="AC84" s="51">
        <f t="shared" si="49"/>
        <v>0</v>
      </c>
      <c r="AD84" s="51">
        <f t="shared" si="50"/>
        <v>0</v>
      </c>
      <c r="AE84" s="51">
        <f t="shared" si="51"/>
        <v>0</v>
      </c>
      <c r="AF84" s="51">
        <f t="shared" si="52"/>
        <v>0</v>
      </c>
      <c r="AG84" s="51">
        <f t="shared" si="53"/>
        <v>0</v>
      </c>
      <c r="AH84" s="51">
        <f t="shared" si="54"/>
        <v>0</v>
      </c>
      <c r="AI84" s="51">
        <f t="shared" si="55"/>
        <v>0</v>
      </c>
      <c r="AJ84" s="51">
        <f t="shared" si="56"/>
        <v>0</v>
      </c>
      <c r="AK84" s="51">
        <f t="shared" si="57"/>
        <v>0</v>
      </c>
      <c r="AL84" s="51">
        <f t="shared" si="58"/>
        <v>0</v>
      </c>
      <c r="AM84" s="51">
        <f t="shared" si="59"/>
        <v>0</v>
      </c>
      <c r="AN84" s="51">
        <f t="shared" si="60"/>
        <v>0</v>
      </c>
      <c r="AO84" s="51">
        <f t="shared" si="61"/>
        <v>0</v>
      </c>
      <c r="AP84" s="51">
        <f t="shared" si="62"/>
        <v>0</v>
      </c>
      <c r="AQ84" s="51">
        <f t="shared" si="63"/>
        <v>0</v>
      </c>
      <c r="AR84" s="51">
        <f t="shared" si="64"/>
        <v>0</v>
      </c>
      <c r="AS84" s="51">
        <f t="shared" si="65"/>
        <v>0</v>
      </c>
      <c r="AT84" s="51">
        <f t="shared" si="66"/>
        <v>0</v>
      </c>
      <c r="AU84" s="51">
        <f t="shared" si="67"/>
        <v>0</v>
      </c>
      <c r="AV84" s="51">
        <f t="shared" si="68"/>
        <v>0</v>
      </c>
      <c r="AW84" s="51">
        <f t="shared" si="69"/>
        <v>0</v>
      </c>
      <c r="AX84" s="51">
        <f t="shared" si="70"/>
        <v>0</v>
      </c>
      <c r="AY84" s="51">
        <f t="shared" si="71"/>
        <v>0</v>
      </c>
      <c r="AZ84" s="51">
        <f t="shared" si="72"/>
        <v>0</v>
      </c>
      <c r="BA84" s="51">
        <f t="shared" si="73"/>
        <v>0</v>
      </c>
      <c r="BB84" s="51">
        <f t="shared" si="74"/>
        <v>0</v>
      </c>
      <c r="BC84" s="51">
        <f t="shared" si="75"/>
        <v>0</v>
      </c>
      <c r="BD84" s="51">
        <f t="shared" si="76"/>
        <v>0</v>
      </c>
      <c r="BE84" s="51">
        <f t="shared" si="77"/>
        <v>0</v>
      </c>
      <c r="BF84" s="51">
        <f t="shared" si="78"/>
        <v>0</v>
      </c>
      <c r="BG84" s="51">
        <f t="shared" si="79"/>
        <v>0</v>
      </c>
      <c r="BH84" s="51">
        <f t="shared" si="80"/>
        <v>0</v>
      </c>
      <c r="BI84" s="51">
        <f t="shared" si="81"/>
        <v>0</v>
      </c>
      <c r="BJ84" s="51">
        <f t="shared" si="82"/>
        <v>0</v>
      </c>
      <c r="BK84" s="51">
        <f t="shared" si="83"/>
        <v>0</v>
      </c>
      <c r="BL84" s="51">
        <f t="shared" si="84"/>
        <v>0</v>
      </c>
      <c r="BM84" s="51">
        <f t="shared" si="85"/>
        <v>0</v>
      </c>
      <c r="BN84" s="51">
        <f t="shared" si="86"/>
        <v>0</v>
      </c>
      <c r="BO84" s="51">
        <f t="shared" si="87"/>
        <v>0</v>
      </c>
      <c r="BP84" s="51">
        <f t="shared" si="88"/>
        <v>0</v>
      </c>
      <c r="BQ84" s="51">
        <f t="shared" si="89"/>
        <v>0</v>
      </c>
    </row>
    <row r="85" spans="1:69" ht="14.25" hidden="1" customHeight="1" thickBot="1" x14ac:dyDescent="0.3">
      <c r="A85" s="106"/>
      <c r="B85" s="91" t="s">
        <v>183</v>
      </c>
      <c r="C85" s="116"/>
      <c r="D85" s="112"/>
      <c r="E85" s="111"/>
      <c r="F85" s="112"/>
      <c r="G85" s="111"/>
      <c r="H85" s="112"/>
      <c r="I85" s="111"/>
      <c r="J85" s="112"/>
      <c r="K85" s="111"/>
      <c r="L85" s="112"/>
      <c r="M85" s="111"/>
      <c r="N85" s="112"/>
      <c r="O85" s="111"/>
      <c r="P85" s="191"/>
      <c r="X85" s="78"/>
      <c r="Z85" s="78"/>
      <c r="AA85" s="95" t="s">
        <v>183</v>
      </c>
      <c r="AB85" s="51">
        <f t="shared" si="48"/>
        <v>0</v>
      </c>
      <c r="AC85" s="51">
        <f t="shared" si="49"/>
        <v>0</v>
      </c>
      <c r="AD85" s="51">
        <f t="shared" si="50"/>
        <v>0</v>
      </c>
      <c r="AE85" s="51">
        <f t="shared" si="51"/>
        <v>0</v>
      </c>
      <c r="AF85" s="51">
        <f t="shared" si="52"/>
        <v>0</v>
      </c>
      <c r="AG85" s="51">
        <f t="shared" si="53"/>
        <v>0</v>
      </c>
      <c r="AH85" s="51">
        <f t="shared" si="54"/>
        <v>0</v>
      </c>
      <c r="AI85" s="51">
        <f t="shared" si="55"/>
        <v>0</v>
      </c>
      <c r="AJ85" s="51">
        <f t="shared" si="56"/>
        <v>0</v>
      </c>
      <c r="AK85" s="51">
        <f t="shared" si="57"/>
        <v>0</v>
      </c>
      <c r="AL85" s="51">
        <f t="shared" si="58"/>
        <v>0</v>
      </c>
      <c r="AM85" s="51">
        <f t="shared" si="59"/>
        <v>0</v>
      </c>
      <c r="AN85" s="51">
        <f t="shared" si="60"/>
        <v>0</v>
      </c>
      <c r="AO85" s="51">
        <f t="shared" si="61"/>
        <v>0</v>
      </c>
      <c r="AP85" s="51">
        <f t="shared" si="62"/>
        <v>0</v>
      </c>
      <c r="AQ85" s="51">
        <f t="shared" si="63"/>
        <v>0</v>
      </c>
      <c r="AR85" s="51">
        <f t="shared" si="64"/>
        <v>0</v>
      </c>
      <c r="AS85" s="51">
        <f t="shared" si="65"/>
        <v>0</v>
      </c>
      <c r="AT85" s="51">
        <f t="shared" si="66"/>
        <v>0</v>
      </c>
      <c r="AU85" s="51">
        <f t="shared" si="67"/>
        <v>0</v>
      </c>
      <c r="AV85" s="51">
        <f t="shared" si="68"/>
        <v>0</v>
      </c>
      <c r="AW85" s="51">
        <f t="shared" si="69"/>
        <v>0</v>
      </c>
      <c r="AX85" s="51">
        <f t="shared" si="70"/>
        <v>0</v>
      </c>
      <c r="AY85" s="51">
        <f t="shared" si="71"/>
        <v>0</v>
      </c>
      <c r="AZ85" s="51">
        <f t="shared" si="72"/>
        <v>0</v>
      </c>
      <c r="BA85" s="51">
        <f t="shared" si="73"/>
        <v>0</v>
      </c>
      <c r="BB85" s="51">
        <f t="shared" si="74"/>
        <v>0</v>
      </c>
      <c r="BC85" s="51">
        <f t="shared" si="75"/>
        <v>0</v>
      </c>
      <c r="BD85" s="51">
        <f t="shared" si="76"/>
        <v>0</v>
      </c>
      <c r="BE85" s="51">
        <f t="shared" si="77"/>
        <v>0</v>
      </c>
      <c r="BF85" s="51">
        <f t="shared" si="78"/>
        <v>0</v>
      </c>
      <c r="BG85" s="51">
        <f t="shared" si="79"/>
        <v>0</v>
      </c>
      <c r="BH85" s="51">
        <f t="shared" si="80"/>
        <v>0</v>
      </c>
      <c r="BI85" s="51">
        <f t="shared" si="81"/>
        <v>0</v>
      </c>
      <c r="BJ85" s="51">
        <f t="shared" si="82"/>
        <v>0</v>
      </c>
      <c r="BK85" s="51">
        <f t="shared" si="83"/>
        <v>0</v>
      </c>
      <c r="BL85" s="51">
        <f t="shared" si="84"/>
        <v>0</v>
      </c>
      <c r="BM85" s="51">
        <f t="shared" si="85"/>
        <v>0</v>
      </c>
      <c r="BN85" s="51">
        <f t="shared" si="86"/>
        <v>0</v>
      </c>
      <c r="BO85" s="51">
        <f t="shared" si="87"/>
        <v>0</v>
      </c>
      <c r="BP85" s="51">
        <f t="shared" si="88"/>
        <v>0</v>
      </c>
      <c r="BQ85" s="51">
        <f t="shared" si="89"/>
        <v>0</v>
      </c>
    </row>
    <row r="86" spans="1:69" ht="14.25" hidden="1" customHeight="1" thickBot="1" x14ac:dyDescent="0.3">
      <c r="A86" s="106"/>
      <c r="B86" s="91" t="s">
        <v>184</v>
      </c>
      <c r="C86" s="116"/>
      <c r="D86" s="112"/>
      <c r="E86" s="111"/>
      <c r="F86" s="112"/>
      <c r="G86" s="111"/>
      <c r="H86" s="112"/>
      <c r="I86" s="111"/>
      <c r="J86" s="112"/>
      <c r="K86" s="111"/>
      <c r="L86" s="112"/>
      <c r="M86" s="111"/>
      <c r="N86" s="112"/>
      <c r="O86" s="111"/>
      <c r="P86" s="191"/>
      <c r="X86" s="78"/>
      <c r="Z86" s="78"/>
      <c r="AA86" s="95" t="s">
        <v>184</v>
      </c>
      <c r="AB86" s="51">
        <f t="shared" si="48"/>
        <v>0</v>
      </c>
      <c r="AC86" s="51">
        <f t="shared" si="49"/>
        <v>0</v>
      </c>
      <c r="AD86" s="51">
        <f t="shared" si="50"/>
        <v>0</v>
      </c>
      <c r="AE86" s="51">
        <f t="shared" si="51"/>
        <v>0</v>
      </c>
      <c r="AF86" s="51">
        <f t="shared" si="52"/>
        <v>0</v>
      </c>
      <c r="AG86" s="51">
        <f t="shared" si="53"/>
        <v>0</v>
      </c>
      <c r="AH86" s="51">
        <f t="shared" si="54"/>
        <v>0</v>
      </c>
      <c r="AI86" s="51">
        <f t="shared" si="55"/>
        <v>0</v>
      </c>
      <c r="AJ86" s="51">
        <f t="shared" si="56"/>
        <v>0</v>
      </c>
      <c r="AK86" s="51">
        <f t="shared" si="57"/>
        <v>0</v>
      </c>
      <c r="AL86" s="51">
        <f t="shared" si="58"/>
        <v>0</v>
      </c>
      <c r="AM86" s="51">
        <f t="shared" si="59"/>
        <v>0</v>
      </c>
      <c r="AN86" s="51">
        <f t="shared" si="60"/>
        <v>0</v>
      </c>
      <c r="AO86" s="51">
        <f t="shared" si="61"/>
        <v>0</v>
      </c>
      <c r="AP86" s="51">
        <f t="shared" si="62"/>
        <v>0</v>
      </c>
      <c r="AQ86" s="51">
        <f t="shared" si="63"/>
        <v>0</v>
      </c>
      <c r="AR86" s="51">
        <f t="shared" si="64"/>
        <v>0</v>
      </c>
      <c r="AS86" s="51">
        <f t="shared" si="65"/>
        <v>0</v>
      </c>
      <c r="AT86" s="51">
        <f t="shared" si="66"/>
        <v>0</v>
      </c>
      <c r="AU86" s="51">
        <f t="shared" si="67"/>
        <v>0</v>
      </c>
      <c r="AV86" s="51">
        <f t="shared" si="68"/>
        <v>0</v>
      </c>
      <c r="AW86" s="51">
        <f t="shared" si="69"/>
        <v>0</v>
      </c>
      <c r="AX86" s="51">
        <f t="shared" si="70"/>
        <v>0</v>
      </c>
      <c r="AY86" s="51">
        <f t="shared" si="71"/>
        <v>0</v>
      </c>
      <c r="AZ86" s="51">
        <f t="shared" si="72"/>
        <v>0</v>
      </c>
      <c r="BA86" s="51">
        <f t="shared" si="73"/>
        <v>0</v>
      </c>
      <c r="BB86" s="51">
        <f t="shared" si="74"/>
        <v>0</v>
      </c>
      <c r="BC86" s="51">
        <f t="shared" si="75"/>
        <v>0</v>
      </c>
      <c r="BD86" s="51">
        <f t="shared" si="76"/>
        <v>0</v>
      </c>
      <c r="BE86" s="51">
        <f t="shared" si="77"/>
        <v>0</v>
      </c>
      <c r="BF86" s="51">
        <f t="shared" si="78"/>
        <v>0</v>
      </c>
      <c r="BG86" s="51">
        <f t="shared" si="79"/>
        <v>0</v>
      </c>
      <c r="BH86" s="51">
        <f t="shared" si="80"/>
        <v>0</v>
      </c>
      <c r="BI86" s="51">
        <f t="shared" si="81"/>
        <v>0</v>
      </c>
      <c r="BJ86" s="51">
        <f t="shared" si="82"/>
        <v>0</v>
      </c>
      <c r="BK86" s="51">
        <f t="shared" si="83"/>
        <v>0</v>
      </c>
      <c r="BL86" s="51">
        <f t="shared" si="84"/>
        <v>0</v>
      </c>
      <c r="BM86" s="51">
        <f t="shared" si="85"/>
        <v>0</v>
      </c>
      <c r="BN86" s="51">
        <f t="shared" si="86"/>
        <v>0</v>
      </c>
      <c r="BO86" s="51">
        <f t="shared" si="87"/>
        <v>0</v>
      </c>
      <c r="BP86" s="51">
        <f t="shared" si="88"/>
        <v>0</v>
      </c>
      <c r="BQ86" s="51">
        <f t="shared" si="89"/>
        <v>0</v>
      </c>
    </row>
    <row r="87" spans="1:69" ht="14.25" hidden="1" customHeight="1" thickBot="1" x14ac:dyDescent="0.3">
      <c r="A87" s="106"/>
      <c r="B87" s="91" t="s">
        <v>185</v>
      </c>
      <c r="C87" s="116"/>
      <c r="D87" s="112"/>
      <c r="E87" s="111"/>
      <c r="F87" s="112"/>
      <c r="G87" s="111"/>
      <c r="H87" s="112"/>
      <c r="I87" s="111"/>
      <c r="J87" s="112"/>
      <c r="K87" s="111"/>
      <c r="L87" s="112"/>
      <c r="M87" s="111"/>
      <c r="N87" s="112"/>
      <c r="O87" s="111"/>
      <c r="P87" s="191"/>
      <c r="X87" s="78"/>
      <c r="Z87" s="78"/>
      <c r="AA87" s="95" t="s">
        <v>185</v>
      </c>
      <c r="AB87" s="51">
        <f t="shared" si="48"/>
        <v>0</v>
      </c>
      <c r="AC87" s="51">
        <f t="shared" si="49"/>
        <v>0</v>
      </c>
      <c r="AD87" s="51">
        <f t="shared" si="50"/>
        <v>0</v>
      </c>
      <c r="AE87" s="51">
        <f t="shared" si="51"/>
        <v>0</v>
      </c>
      <c r="AF87" s="51">
        <f t="shared" si="52"/>
        <v>0</v>
      </c>
      <c r="AG87" s="51">
        <f t="shared" si="53"/>
        <v>0</v>
      </c>
      <c r="AH87" s="51">
        <f t="shared" si="54"/>
        <v>0</v>
      </c>
      <c r="AI87" s="51">
        <f t="shared" si="55"/>
        <v>0</v>
      </c>
      <c r="AJ87" s="51">
        <f t="shared" si="56"/>
        <v>0</v>
      </c>
      <c r="AK87" s="51">
        <f t="shared" si="57"/>
        <v>0</v>
      </c>
      <c r="AL87" s="51">
        <f t="shared" si="58"/>
        <v>0</v>
      </c>
      <c r="AM87" s="51">
        <f t="shared" si="59"/>
        <v>0</v>
      </c>
      <c r="AN87" s="51">
        <f t="shared" si="60"/>
        <v>0</v>
      </c>
      <c r="AO87" s="51">
        <f t="shared" si="61"/>
        <v>0</v>
      </c>
      <c r="AP87" s="51">
        <f t="shared" si="62"/>
        <v>0</v>
      </c>
      <c r="AQ87" s="51">
        <f t="shared" si="63"/>
        <v>0</v>
      </c>
      <c r="AR87" s="51">
        <f t="shared" si="64"/>
        <v>0</v>
      </c>
      <c r="AS87" s="51">
        <f t="shared" si="65"/>
        <v>0</v>
      </c>
      <c r="AT87" s="51">
        <f t="shared" si="66"/>
        <v>0</v>
      </c>
      <c r="AU87" s="51">
        <f t="shared" si="67"/>
        <v>0</v>
      </c>
      <c r="AV87" s="51">
        <f t="shared" si="68"/>
        <v>0</v>
      </c>
      <c r="AW87" s="51">
        <f t="shared" si="69"/>
        <v>0</v>
      </c>
      <c r="AX87" s="51">
        <f t="shared" si="70"/>
        <v>0</v>
      </c>
      <c r="AY87" s="51">
        <f t="shared" si="71"/>
        <v>0</v>
      </c>
      <c r="AZ87" s="51">
        <f t="shared" si="72"/>
        <v>0</v>
      </c>
      <c r="BA87" s="51">
        <f t="shared" si="73"/>
        <v>0</v>
      </c>
      <c r="BB87" s="51">
        <f t="shared" si="74"/>
        <v>0</v>
      </c>
      <c r="BC87" s="51">
        <f t="shared" si="75"/>
        <v>0</v>
      </c>
      <c r="BD87" s="51">
        <f t="shared" si="76"/>
        <v>0</v>
      </c>
      <c r="BE87" s="51">
        <f t="shared" si="77"/>
        <v>0</v>
      </c>
      <c r="BF87" s="51">
        <f t="shared" si="78"/>
        <v>0</v>
      </c>
      <c r="BG87" s="51">
        <f t="shared" si="79"/>
        <v>0</v>
      </c>
      <c r="BH87" s="51">
        <f t="shared" si="80"/>
        <v>0</v>
      </c>
      <c r="BI87" s="51">
        <f t="shared" si="81"/>
        <v>0</v>
      </c>
      <c r="BJ87" s="51">
        <f t="shared" si="82"/>
        <v>0</v>
      </c>
      <c r="BK87" s="51">
        <f t="shared" si="83"/>
        <v>0</v>
      </c>
      <c r="BL87" s="51">
        <f t="shared" si="84"/>
        <v>0</v>
      </c>
      <c r="BM87" s="51">
        <f t="shared" si="85"/>
        <v>0</v>
      </c>
      <c r="BN87" s="51">
        <f t="shared" si="86"/>
        <v>0</v>
      </c>
      <c r="BO87" s="51">
        <f t="shared" si="87"/>
        <v>0</v>
      </c>
      <c r="BP87" s="51">
        <f t="shared" si="88"/>
        <v>0</v>
      </c>
      <c r="BQ87" s="51">
        <f t="shared" si="89"/>
        <v>0</v>
      </c>
    </row>
    <row r="88" spans="1:69" ht="14.25" hidden="1" customHeight="1" thickBot="1" x14ac:dyDescent="0.3">
      <c r="A88" s="106"/>
      <c r="B88" s="91" t="s">
        <v>186</v>
      </c>
      <c r="C88" s="116"/>
      <c r="D88" s="112"/>
      <c r="E88" s="111"/>
      <c r="F88" s="112"/>
      <c r="G88" s="111"/>
      <c r="H88" s="112"/>
      <c r="I88" s="111"/>
      <c r="J88" s="112"/>
      <c r="K88" s="111"/>
      <c r="L88" s="112"/>
      <c r="M88" s="111"/>
      <c r="N88" s="112"/>
      <c r="O88" s="111"/>
      <c r="P88" s="191"/>
      <c r="X88" s="78"/>
      <c r="Z88" s="78"/>
      <c r="AA88" s="95" t="s">
        <v>186</v>
      </c>
      <c r="AB88" s="51">
        <f t="shared" si="48"/>
        <v>0</v>
      </c>
      <c r="AC88" s="51">
        <f t="shared" si="49"/>
        <v>0</v>
      </c>
      <c r="AD88" s="51">
        <f t="shared" si="50"/>
        <v>0</v>
      </c>
      <c r="AE88" s="51">
        <f t="shared" si="51"/>
        <v>0</v>
      </c>
      <c r="AF88" s="51">
        <f t="shared" si="52"/>
        <v>0</v>
      </c>
      <c r="AG88" s="51">
        <f t="shared" si="53"/>
        <v>0</v>
      </c>
      <c r="AH88" s="51">
        <f t="shared" si="54"/>
        <v>0</v>
      </c>
      <c r="AI88" s="51">
        <f t="shared" si="55"/>
        <v>0</v>
      </c>
      <c r="AJ88" s="51">
        <f t="shared" si="56"/>
        <v>0</v>
      </c>
      <c r="AK88" s="51">
        <f t="shared" si="57"/>
        <v>0</v>
      </c>
      <c r="AL88" s="51">
        <f t="shared" si="58"/>
        <v>0</v>
      </c>
      <c r="AM88" s="51">
        <f t="shared" si="59"/>
        <v>0</v>
      </c>
      <c r="AN88" s="51">
        <f t="shared" si="60"/>
        <v>0</v>
      </c>
      <c r="AO88" s="51">
        <f t="shared" si="61"/>
        <v>0</v>
      </c>
      <c r="AP88" s="51">
        <f t="shared" si="62"/>
        <v>0</v>
      </c>
      <c r="AQ88" s="51">
        <f t="shared" si="63"/>
        <v>0</v>
      </c>
      <c r="AR88" s="51">
        <f t="shared" si="64"/>
        <v>0</v>
      </c>
      <c r="AS88" s="51">
        <f t="shared" si="65"/>
        <v>0</v>
      </c>
      <c r="AT88" s="51">
        <f t="shared" si="66"/>
        <v>0</v>
      </c>
      <c r="AU88" s="51">
        <f t="shared" si="67"/>
        <v>0</v>
      </c>
      <c r="AV88" s="51">
        <f t="shared" si="68"/>
        <v>0</v>
      </c>
      <c r="AW88" s="51">
        <f t="shared" si="69"/>
        <v>0</v>
      </c>
      <c r="AX88" s="51">
        <f t="shared" si="70"/>
        <v>0</v>
      </c>
      <c r="AY88" s="51">
        <f t="shared" si="71"/>
        <v>0</v>
      </c>
      <c r="AZ88" s="51">
        <f t="shared" si="72"/>
        <v>0</v>
      </c>
      <c r="BA88" s="51">
        <f t="shared" si="73"/>
        <v>0</v>
      </c>
      <c r="BB88" s="51">
        <f t="shared" si="74"/>
        <v>0</v>
      </c>
      <c r="BC88" s="51">
        <f t="shared" si="75"/>
        <v>0</v>
      </c>
      <c r="BD88" s="51">
        <f t="shared" si="76"/>
        <v>0</v>
      </c>
      <c r="BE88" s="51">
        <f t="shared" si="77"/>
        <v>0</v>
      </c>
      <c r="BF88" s="51">
        <f t="shared" si="78"/>
        <v>0</v>
      </c>
      <c r="BG88" s="51">
        <f t="shared" si="79"/>
        <v>0</v>
      </c>
      <c r="BH88" s="51">
        <f t="shared" si="80"/>
        <v>0</v>
      </c>
      <c r="BI88" s="51">
        <f t="shared" si="81"/>
        <v>0</v>
      </c>
      <c r="BJ88" s="51">
        <f t="shared" si="82"/>
        <v>0</v>
      </c>
      <c r="BK88" s="51">
        <f t="shared" si="83"/>
        <v>0</v>
      </c>
      <c r="BL88" s="51">
        <f t="shared" si="84"/>
        <v>0</v>
      </c>
      <c r="BM88" s="51">
        <f t="shared" si="85"/>
        <v>0</v>
      </c>
      <c r="BN88" s="51">
        <f t="shared" si="86"/>
        <v>0</v>
      </c>
      <c r="BO88" s="51">
        <f t="shared" si="87"/>
        <v>0</v>
      </c>
      <c r="BP88" s="51">
        <f t="shared" si="88"/>
        <v>0</v>
      </c>
      <c r="BQ88" s="51">
        <f t="shared" si="89"/>
        <v>0</v>
      </c>
    </row>
    <row r="89" spans="1:69" ht="14.25" hidden="1" customHeight="1" thickBot="1" x14ac:dyDescent="0.3">
      <c r="A89" s="106"/>
      <c r="B89" s="91" t="s">
        <v>187</v>
      </c>
      <c r="C89" s="116"/>
      <c r="D89" s="112"/>
      <c r="E89" s="111"/>
      <c r="F89" s="112"/>
      <c r="G89" s="111"/>
      <c r="H89" s="112"/>
      <c r="I89" s="111"/>
      <c r="J89" s="112"/>
      <c r="K89" s="111"/>
      <c r="L89" s="112"/>
      <c r="M89" s="111"/>
      <c r="N89" s="112"/>
      <c r="O89" s="111"/>
      <c r="P89" s="191"/>
      <c r="X89" s="78"/>
      <c r="Z89" s="78"/>
      <c r="AA89" s="95" t="s">
        <v>187</v>
      </c>
      <c r="AB89" s="51">
        <f t="shared" si="48"/>
        <v>0</v>
      </c>
      <c r="AC89" s="51">
        <f t="shared" si="49"/>
        <v>0</v>
      </c>
      <c r="AD89" s="51">
        <f t="shared" si="50"/>
        <v>0</v>
      </c>
      <c r="AE89" s="51">
        <f t="shared" si="51"/>
        <v>0</v>
      </c>
      <c r="AF89" s="51">
        <f t="shared" si="52"/>
        <v>0</v>
      </c>
      <c r="AG89" s="51">
        <f t="shared" si="53"/>
        <v>0</v>
      </c>
      <c r="AH89" s="51">
        <f t="shared" si="54"/>
        <v>0</v>
      </c>
      <c r="AI89" s="51">
        <f t="shared" si="55"/>
        <v>0</v>
      </c>
      <c r="AJ89" s="51">
        <f t="shared" si="56"/>
        <v>0</v>
      </c>
      <c r="AK89" s="51">
        <f t="shared" si="57"/>
        <v>0</v>
      </c>
      <c r="AL89" s="51">
        <f t="shared" si="58"/>
        <v>0</v>
      </c>
      <c r="AM89" s="51">
        <f t="shared" si="59"/>
        <v>0</v>
      </c>
      <c r="AN89" s="51">
        <f t="shared" si="60"/>
        <v>0</v>
      </c>
      <c r="AO89" s="51">
        <f t="shared" si="61"/>
        <v>0</v>
      </c>
      <c r="AP89" s="51">
        <f t="shared" si="62"/>
        <v>0</v>
      </c>
      <c r="AQ89" s="51">
        <f t="shared" si="63"/>
        <v>0</v>
      </c>
      <c r="AR89" s="51">
        <f t="shared" si="64"/>
        <v>0</v>
      </c>
      <c r="AS89" s="51">
        <f t="shared" si="65"/>
        <v>0</v>
      </c>
      <c r="AT89" s="51">
        <f t="shared" si="66"/>
        <v>0</v>
      </c>
      <c r="AU89" s="51">
        <f t="shared" si="67"/>
        <v>0</v>
      </c>
      <c r="AV89" s="51">
        <f t="shared" si="68"/>
        <v>0</v>
      </c>
      <c r="AW89" s="51">
        <f t="shared" si="69"/>
        <v>0</v>
      </c>
      <c r="AX89" s="51">
        <f t="shared" si="70"/>
        <v>0</v>
      </c>
      <c r="AY89" s="51">
        <f t="shared" si="71"/>
        <v>0</v>
      </c>
      <c r="AZ89" s="51">
        <f t="shared" si="72"/>
        <v>0</v>
      </c>
      <c r="BA89" s="51">
        <f t="shared" si="73"/>
        <v>0</v>
      </c>
      <c r="BB89" s="51">
        <f t="shared" si="74"/>
        <v>0</v>
      </c>
      <c r="BC89" s="51">
        <f t="shared" si="75"/>
        <v>0</v>
      </c>
      <c r="BD89" s="51">
        <f t="shared" si="76"/>
        <v>0</v>
      </c>
      <c r="BE89" s="51">
        <f t="shared" si="77"/>
        <v>0</v>
      </c>
      <c r="BF89" s="51">
        <f t="shared" si="78"/>
        <v>0</v>
      </c>
      <c r="BG89" s="51">
        <f t="shared" si="79"/>
        <v>0</v>
      </c>
      <c r="BH89" s="51">
        <f t="shared" si="80"/>
        <v>0</v>
      </c>
      <c r="BI89" s="51">
        <f t="shared" si="81"/>
        <v>0</v>
      </c>
      <c r="BJ89" s="51">
        <f t="shared" si="82"/>
        <v>0</v>
      </c>
      <c r="BK89" s="51">
        <f t="shared" si="83"/>
        <v>0</v>
      </c>
      <c r="BL89" s="51">
        <f t="shared" si="84"/>
        <v>0</v>
      </c>
      <c r="BM89" s="51">
        <f t="shared" si="85"/>
        <v>0</v>
      </c>
      <c r="BN89" s="51">
        <f t="shared" si="86"/>
        <v>0</v>
      </c>
      <c r="BO89" s="51">
        <f t="shared" si="87"/>
        <v>0</v>
      </c>
      <c r="BP89" s="51">
        <f t="shared" si="88"/>
        <v>0</v>
      </c>
      <c r="BQ89" s="51">
        <f t="shared" si="89"/>
        <v>0</v>
      </c>
    </row>
    <row r="90" spans="1:69" ht="14.25" hidden="1" customHeight="1" thickBot="1" x14ac:dyDescent="0.3">
      <c r="A90" s="106"/>
      <c r="B90" s="91" t="s">
        <v>188</v>
      </c>
      <c r="C90" s="116"/>
      <c r="D90" s="112"/>
      <c r="E90" s="111"/>
      <c r="F90" s="112"/>
      <c r="G90" s="111"/>
      <c r="H90" s="112"/>
      <c r="I90" s="111"/>
      <c r="J90" s="112"/>
      <c r="K90" s="111"/>
      <c r="L90" s="112"/>
      <c r="M90" s="111"/>
      <c r="N90" s="112"/>
      <c r="O90" s="111"/>
      <c r="P90" s="191"/>
      <c r="X90" s="78"/>
      <c r="Z90" s="78"/>
      <c r="AA90" s="95" t="s">
        <v>188</v>
      </c>
      <c r="AB90" s="51">
        <f t="shared" si="48"/>
        <v>0</v>
      </c>
      <c r="AC90" s="51">
        <f t="shared" si="49"/>
        <v>0</v>
      </c>
      <c r="AD90" s="51">
        <f t="shared" si="50"/>
        <v>0</v>
      </c>
      <c r="AE90" s="51">
        <f t="shared" si="51"/>
        <v>0</v>
      </c>
      <c r="AF90" s="51">
        <f t="shared" si="52"/>
        <v>0</v>
      </c>
      <c r="AG90" s="51">
        <f t="shared" si="53"/>
        <v>0</v>
      </c>
      <c r="AH90" s="51">
        <f t="shared" si="54"/>
        <v>0</v>
      </c>
      <c r="AI90" s="51">
        <f t="shared" si="55"/>
        <v>0</v>
      </c>
      <c r="AJ90" s="51">
        <f t="shared" si="56"/>
        <v>0</v>
      </c>
      <c r="AK90" s="51">
        <f t="shared" si="57"/>
        <v>0</v>
      </c>
      <c r="AL90" s="51">
        <f t="shared" si="58"/>
        <v>0</v>
      </c>
      <c r="AM90" s="51">
        <f t="shared" si="59"/>
        <v>0</v>
      </c>
      <c r="AN90" s="51">
        <f t="shared" si="60"/>
        <v>0</v>
      </c>
      <c r="AO90" s="51">
        <f t="shared" si="61"/>
        <v>0</v>
      </c>
      <c r="AP90" s="51">
        <f t="shared" si="62"/>
        <v>0</v>
      </c>
      <c r="AQ90" s="51">
        <f t="shared" si="63"/>
        <v>0</v>
      </c>
      <c r="AR90" s="51">
        <f t="shared" si="64"/>
        <v>0</v>
      </c>
      <c r="AS90" s="51">
        <f t="shared" si="65"/>
        <v>0</v>
      </c>
      <c r="AT90" s="51">
        <f t="shared" si="66"/>
        <v>0</v>
      </c>
      <c r="AU90" s="51">
        <f t="shared" si="67"/>
        <v>0</v>
      </c>
      <c r="AV90" s="51">
        <f t="shared" si="68"/>
        <v>0</v>
      </c>
      <c r="AW90" s="51">
        <f t="shared" si="69"/>
        <v>0</v>
      </c>
      <c r="AX90" s="51">
        <f t="shared" si="70"/>
        <v>0</v>
      </c>
      <c r="AY90" s="51">
        <f t="shared" si="71"/>
        <v>0</v>
      </c>
      <c r="AZ90" s="51">
        <f t="shared" si="72"/>
        <v>0</v>
      </c>
      <c r="BA90" s="51">
        <f t="shared" si="73"/>
        <v>0</v>
      </c>
      <c r="BB90" s="51">
        <f t="shared" si="74"/>
        <v>0</v>
      </c>
      <c r="BC90" s="51">
        <f t="shared" si="75"/>
        <v>0</v>
      </c>
      <c r="BD90" s="51">
        <f t="shared" si="76"/>
        <v>0</v>
      </c>
      <c r="BE90" s="51">
        <f t="shared" si="77"/>
        <v>0</v>
      </c>
      <c r="BF90" s="51">
        <f t="shared" si="78"/>
        <v>0</v>
      </c>
      <c r="BG90" s="51">
        <f t="shared" si="79"/>
        <v>0</v>
      </c>
      <c r="BH90" s="51">
        <f t="shared" si="80"/>
        <v>0</v>
      </c>
      <c r="BI90" s="51">
        <f t="shared" si="81"/>
        <v>0</v>
      </c>
      <c r="BJ90" s="51">
        <f t="shared" si="82"/>
        <v>0</v>
      </c>
      <c r="BK90" s="51">
        <f t="shared" si="83"/>
        <v>0</v>
      </c>
      <c r="BL90" s="51">
        <f t="shared" si="84"/>
        <v>0</v>
      </c>
      <c r="BM90" s="51">
        <f t="shared" si="85"/>
        <v>0</v>
      </c>
      <c r="BN90" s="51">
        <f t="shared" si="86"/>
        <v>0</v>
      </c>
      <c r="BO90" s="51">
        <f t="shared" si="87"/>
        <v>0</v>
      </c>
      <c r="BP90" s="51">
        <f t="shared" si="88"/>
        <v>0</v>
      </c>
      <c r="BQ90" s="51">
        <f t="shared" si="89"/>
        <v>0</v>
      </c>
    </row>
    <row r="91" spans="1:69" ht="14.25" hidden="1" customHeight="1" thickBot="1" x14ac:dyDescent="0.3">
      <c r="A91" s="106"/>
      <c r="B91" s="91" t="s">
        <v>189</v>
      </c>
      <c r="C91" s="116"/>
      <c r="D91" s="112"/>
      <c r="E91" s="111"/>
      <c r="F91" s="112"/>
      <c r="G91" s="111"/>
      <c r="H91" s="112"/>
      <c r="I91" s="111"/>
      <c r="J91" s="112"/>
      <c r="K91" s="111"/>
      <c r="L91" s="112"/>
      <c r="M91" s="111"/>
      <c r="N91" s="112"/>
      <c r="O91" s="111"/>
      <c r="P91" s="191"/>
      <c r="X91" s="78"/>
      <c r="Z91" s="78"/>
      <c r="AA91" s="95" t="s">
        <v>189</v>
      </c>
      <c r="AB91" s="51">
        <f t="shared" si="48"/>
        <v>0</v>
      </c>
      <c r="AC91" s="51">
        <f t="shared" si="49"/>
        <v>0</v>
      </c>
      <c r="AD91" s="51">
        <f t="shared" si="50"/>
        <v>0</v>
      </c>
      <c r="AE91" s="51">
        <f t="shared" si="51"/>
        <v>0</v>
      </c>
      <c r="AF91" s="51">
        <f t="shared" si="52"/>
        <v>0</v>
      </c>
      <c r="AG91" s="51">
        <f t="shared" si="53"/>
        <v>0</v>
      </c>
      <c r="AH91" s="51">
        <f t="shared" si="54"/>
        <v>0</v>
      </c>
      <c r="AI91" s="51">
        <f t="shared" si="55"/>
        <v>0</v>
      </c>
      <c r="AJ91" s="51">
        <f t="shared" si="56"/>
        <v>0</v>
      </c>
      <c r="AK91" s="51">
        <f t="shared" si="57"/>
        <v>0</v>
      </c>
      <c r="AL91" s="51">
        <f t="shared" si="58"/>
        <v>0</v>
      </c>
      <c r="AM91" s="51">
        <f t="shared" si="59"/>
        <v>0</v>
      </c>
      <c r="AN91" s="51">
        <f t="shared" si="60"/>
        <v>0</v>
      </c>
      <c r="AO91" s="51">
        <f t="shared" si="61"/>
        <v>0</v>
      </c>
      <c r="AP91" s="51">
        <f t="shared" si="62"/>
        <v>0</v>
      </c>
      <c r="AQ91" s="51">
        <f t="shared" si="63"/>
        <v>0</v>
      </c>
      <c r="AR91" s="51">
        <f t="shared" si="64"/>
        <v>0</v>
      </c>
      <c r="AS91" s="51">
        <f t="shared" si="65"/>
        <v>0</v>
      </c>
      <c r="AT91" s="51">
        <f t="shared" si="66"/>
        <v>0</v>
      </c>
      <c r="AU91" s="51">
        <f t="shared" si="67"/>
        <v>0</v>
      </c>
      <c r="AV91" s="51">
        <f t="shared" si="68"/>
        <v>0</v>
      </c>
      <c r="AW91" s="51">
        <f t="shared" si="69"/>
        <v>0</v>
      </c>
      <c r="AX91" s="51">
        <f t="shared" si="70"/>
        <v>0</v>
      </c>
      <c r="AY91" s="51">
        <f t="shared" si="71"/>
        <v>0</v>
      </c>
      <c r="AZ91" s="51">
        <f t="shared" si="72"/>
        <v>0</v>
      </c>
      <c r="BA91" s="51">
        <f t="shared" si="73"/>
        <v>0</v>
      </c>
      <c r="BB91" s="51">
        <f t="shared" si="74"/>
        <v>0</v>
      </c>
      <c r="BC91" s="51">
        <f t="shared" si="75"/>
        <v>0</v>
      </c>
      <c r="BD91" s="51">
        <f t="shared" si="76"/>
        <v>0</v>
      </c>
      <c r="BE91" s="51">
        <f t="shared" si="77"/>
        <v>0</v>
      </c>
      <c r="BF91" s="51">
        <f t="shared" si="78"/>
        <v>0</v>
      </c>
      <c r="BG91" s="51">
        <f t="shared" si="79"/>
        <v>0</v>
      </c>
      <c r="BH91" s="51">
        <f t="shared" si="80"/>
        <v>0</v>
      </c>
      <c r="BI91" s="51">
        <f t="shared" si="81"/>
        <v>0</v>
      </c>
      <c r="BJ91" s="51">
        <f t="shared" si="82"/>
        <v>0</v>
      </c>
      <c r="BK91" s="51">
        <f t="shared" si="83"/>
        <v>0</v>
      </c>
      <c r="BL91" s="51">
        <f t="shared" si="84"/>
        <v>0</v>
      </c>
      <c r="BM91" s="51">
        <f t="shared" si="85"/>
        <v>0</v>
      </c>
      <c r="BN91" s="51">
        <f t="shared" si="86"/>
        <v>0</v>
      </c>
      <c r="BO91" s="51">
        <f t="shared" si="87"/>
        <v>0</v>
      </c>
      <c r="BP91" s="51">
        <f t="shared" si="88"/>
        <v>0</v>
      </c>
      <c r="BQ91" s="51">
        <f t="shared" si="89"/>
        <v>0</v>
      </c>
    </row>
    <row r="92" spans="1:69" ht="14.25" hidden="1" customHeight="1" thickBot="1" x14ac:dyDescent="0.3">
      <c r="A92" s="106"/>
      <c r="B92" s="91" t="s">
        <v>190</v>
      </c>
      <c r="C92" s="116"/>
      <c r="D92" s="112"/>
      <c r="E92" s="111"/>
      <c r="F92" s="112"/>
      <c r="G92" s="111"/>
      <c r="H92" s="112"/>
      <c r="I92" s="111"/>
      <c r="J92" s="112"/>
      <c r="K92" s="111"/>
      <c r="L92" s="112"/>
      <c r="M92" s="111"/>
      <c r="N92" s="112"/>
      <c r="O92" s="111"/>
      <c r="P92" s="191"/>
      <c r="X92" s="78"/>
      <c r="Z92" s="78"/>
      <c r="AA92" s="95" t="s">
        <v>190</v>
      </c>
      <c r="AB92" s="51">
        <f t="shared" si="48"/>
        <v>0</v>
      </c>
      <c r="AC92" s="51">
        <f t="shared" si="49"/>
        <v>0</v>
      </c>
      <c r="AD92" s="51">
        <f t="shared" si="50"/>
        <v>0</v>
      </c>
      <c r="AE92" s="51">
        <f t="shared" si="51"/>
        <v>0</v>
      </c>
      <c r="AF92" s="51">
        <f t="shared" si="52"/>
        <v>0</v>
      </c>
      <c r="AG92" s="51">
        <f t="shared" si="53"/>
        <v>0</v>
      </c>
      <c r="AH92" s="51">
        <f t="shared" si="54"/>
        <v>0</v>
      </c>
      <c r="AI92" s="51">
        <f t="shared" si="55"/>
        <v>0</v>
      </c>
      <c r="AJ92" s="51">
        <f t="shared" si="56"/>
        <v>0</v>
      </c>
      <c r="AK92" s="51">
        <f t="shared" si="57"/>
        <v>0</v>
      </c>
      <c r="AL92" s="51">
        <f t="shared" si="58"/>
        <v>0</v>
      </c>
      <c r="AM92" s="51">
        <f t="shared" si="59"/>
        <v>0</v>
      </c>
      <c r="AN92" s="51">
        <f t="shared" si="60"/>
        <v>0</v>
      </c>
      <c r="AO92" s="51">
        <f t="shared" si="61"/>
        <v>0</v>
      </c>
      <c r="AP92" s="51">
        <f t="shared" si="62"/>
        <v>0</v>
      </c>
      <c r="AQ92" s="51">
        <f t="shared" si="63"/>
        <v>0</v>
      </c>
      <c r="AR92" s="51">
        <f t="shared" si="64"/>
        <v>0</v>
      </c>
      <c r="AS92" s="51">
        <f t="shared" si="65"/>
        <v>0</v>
      </c>
      <c r="AT92" s="51">
        <f t="shared" si="66"/>
        <v>0</v>
      </c>
      <c r="AU92" s="51">
        <f t="shared" si="67"/>
        <v>0</v>
      </c>
      <c r="AV92" s="51">
        <f t="shared" si="68"/>
        <v>0</v>
      </c>
      <c r="AW92" s="51">
        <f t="shared" si="69"/>
        <v>0</v>
      </c>
      <c r="AX92" s="51">
        <f t="shared" si="70"/>
        <v>0</v>
      </c>
      <c r="AY92" s="51">
        <f t="shared" si="71"/>
        <v>0</v>
      </c>
      <c r="AZ92" s="51">
        <f t="shared" si="72"/>
        <v>0</v>
      </c>
      <c r="BA92" s="51">
        <f t="shared" si="73"/>
        <v>0</v>
      </c>
      <c r="BB92" s="51">
        <f t="shared" si="74"/>
        <v>0</v>
      </c>
      <c r="BC92" s="51">
        <f t="shared" si="75"/>
        <v>0</v>
      </c>
      <c r="BD92" s="51">
        <f t="shared" si="76"/>
        <v>0</v>
      </c>
      <c r="BE92" s="51">
        <f t="shared" si="77"/>
        <v>0</v>
      </c>
      <c r="BF92" s="51">
        <f t="shared" si="78"/>
        <v>0</v>
      </c>
      <c r="BG92" s="51">
        <f t="shared" si="79"/>
        <v>0</v>
      </c>
      <c r="BH92" s="51">
        <f t="shared" si="80"/>
        <v>0</v>
      </c>
      <c r="BI92" s="51">
        <f t="shared" si="81"/>
        <v>0</v>
      </c>
      <c r="BJ92" s="51">
        <f t="shared" si="82"/>
        <v>0</v>
      </c>
      <c r="BK92" s="51">
        <f t="shared" si="83"/>
        <v>0</v>
      </c>
      <c r="BL92" s="51">
        <f t="shared" si="84"/>
        <v>0</v>
      </c>
      <c r="BM92" s="51">
        <f t="shared" si="85"/>
        <v>0</v>
      </c>
      <c r="BN92" s="51">
        <f t="shared" si="86"/>
        <v>0</v>
      </c>
      <c r="BO92" s="51">
        <f t="shared" si="87"/>
        <v>0</v>
      </c>
      <c r="BP92" s="51">
        <f t="shared" si="88"/>
        <v>0</v>
      </c>
      <c r="BQ92" s="51">
        <f t="shared" si="89"/>
        <v>0</v>
      </c>
    </row>
    <row r="93" spans="1:69" ht="14.25" hidden="1" customHeight="1" thickBot="1" x14ac:dyDescent="0.3">
      <c r="A93" s="106"/>
      <c r="B93" s="91" t="s">
        <v>191</v>
      </c>
      <c r="C93" s="116"/>
      <c r="D93" s="112"/>
      <c r="E93" s="111"/>
      <c r="F93" s="112"/>
      <c r="G93" s="111"/>
      <c r="H93" s="112"/>
      <c r="I93" s="111"/>
      <c r="J93" s="112"/>
      <c r="K93" s="111"/>
      <c r="L93" s="112"/>
      <c r="M93" s="111"/>
      <c r="N93" s="112"/>
      <c r="O93" s="111"/>
      <c r="P93" s="191"/>
      <c r="X93" s="78"/>
      <c r="Z93" s="78"/>
      <c r="AA93" s="95" t="s">
        <v>191</v>
      </c>
      <c r="AB93" s="51">
        <f t="shared" si="48"/>
        <v>0</v>
      </c>
      <c r="AC93" s="51">
        <f t="shared" si="49"/>
        <v>0</v>
      </c>
      <c r="AD93" s="51">
        <f t="shared" si="50"/>
        <v>0</v>
      </c>
      <c r="AE93" s="51">
        <f t="shared" si="51"/>
        <v>0</v>
      </c>
      <c r="AF93" s="51">
        <f t="shared" si="52"/>
        <v>0</v>
      </c>
      <c r="AG93" s="51">
        <f t="shared" si="53"/>
        <v>0</v>
      </c>
      <c r="AH93" s="51">
        <f t="shared" si="54"/>
        <v>0</v>
      </c>
      <c r="AI93" s="51">
        <f t="shared" si="55"/>
        <v>0</v>
      </c>
      <c r="AJ93" s="51">
        <f t="shared" si="56"/>
        <v>0</v>
      </c>
      <c r="AK93" s="51">
        <f t="shared" si="57"/>
        <v>0</v>
      </c>
      <c r="AL93" s="51">
        <f t="shared" si="58"/>
        <v>0</v>
      </c>
      <c r="AM93" s="51">
        <f t="shared" si="59"/>
        <v>0</v>
      </c>
      <c r="AN93" s="51">
        <f t="shared" si="60"/>
        <v>0</v>
      </c>
      <c r="AO93" s="51">
        <f t="shared" si="61"/>
        <v>0</v>
      </c>
      <c r="AP93" s="51">
        <f t="shared" si="62"/>
        <v>0</v>
      </c>
      <c r="AQ93" s="51">
        <f t="shared" si="63"/>
        <v>0</v>
      </c>
      <c r="AR93" s="51">
        <f t="shared" si="64"/>
        <v>0</v>
      </c>
      <c r="AS93" s="51">
        <f t="shared" si="65"/>
        <v>0</v>
      </c>
      <c r="AT93" s="51">
        <f t="shared" si="66"/>
        <v>0</v>
      </c>
      <c r="AU93" s="51">
        <f t="shared" si="67"/>
        <v>0</v>
      </c>
      <c r="AV93" s="51">
        <f t="shared" si="68"/>
        <v>0</v>
      </c>
      <c r="AW93" s="51">
        <f t="shared" si="69"/>
        <v>0</v>
      </c>
      <c r="AX93" s="51">
        <f t="shared" si="70"/>
        <v>0</v>
      </c>
      <c r="AY93" s="51">
        <f t="shared" si="71"/>
        <v>0</v>
      </c>
      <c r="AZ93" s="51">
        <f t="shared" si="72"/>
        <v>0</v>
      </c>
      <c r="BA93" s="51">
        <f t="shared" si="73"/>
        <v>0</v>
      </c>
      <c r="BB93" s="51">
        <f t="shared" si="74"/>
        <v>0</v>
      </c>
      <c r="BC93" s="51">
        <f t="shared" si="75"/>
        <v>0</v>
      </c>
      <c r="BD93" s="51">
        <f t="shared" si="76"/>
        <v>0</v>
      </c>
      <c r="BE93" s="51">
        <f t="shared" si="77"/>
        <v>0</v>
      </c>
      <c r="BF93" s="51">
        <f t="shared" si="78"/>
        <v>0</v>
      </c>
      <c r="BG93" s="51">
        <f t="shared" si="79"/>
        <v>0</v>
      </c>
      <c r="BH93" s="51">
        <f t="shared" si="80"/>
        <v>0</v>
      </c>
      <c r="BI93" s="51">
        <f t="shared" si="81"/>
        <v>0</v>
      </c>
      <c r="BJ93" s="51">
        <f t="shared" si="82"/>
        <v>0</v>
      </c>
      <c r="BK93" s="51">
        <f t="shared" si="83"/>
        <v>0</v>
      </c>
      <c r="BL93" s="51">
        <f t="shared" si="84"/>
        <v>0</v>
      </c>
      <c r="BM93" s="51">
        <f t="shared" si="85"/>
        <v>0</v>
      </c>
      <c r="BN93" s="51">
        <f t="shared" si="86"/>
        <v>0</v>
      </c>
      <c r="BO93" s="51">
        <f t="shared" si="87"/>
        <v>0</v>
      </c>
      <c r="BP93" s="51">
        <f t="shared" si="88"/>
        <v>0</v>
      </c>
      <c r="BQ93" s="51">
        <f t="shared" si="89"/>
        <v>0</v>
      </c>
    </row>
    <row r="94" spans="1:69" ht="14.25" hidden="1" customHeight="1" thickBot="1" x14ac:dyDescent="0.3">
      <c r="A94" s="106"/>
      <c r="B94" s="91" t="s">
        <v>192</v>
      </c>
      <c r="C94" s="116"/>
      <c r="D94" s="112"/>
      <c r="E94" s="111"/>
      <c r="F94" s="112"/>
      <c r="G94" s="111"/>
      <c r="H94" s="112"/>
      <c r="I94" s="111"/>
      <c r="J94" s="112"/>
      <c r="K94" s="111"/>
      <c r="L94" s="112"/>
      <c r="M94" s="111"/>
      <c r="N94" s="112"/>
      <c r="O94" s="111"/>
      <c r="P94" s="191"/>
      <c r="X94" s="78"/>
      <c r="Z94" s="78"/>
      <c r="AA94" s="95" t="s">
        <v>192</v>
      </c>
      <c r="AB94" s="51">
        <f t="shared" si="48"/>
        <v>0</v>
      </c>
      <c r="AC94" s="51">
        <f t="shared" si="49"/>
        <v>0</v>
      </c>
      <c r="AD94" s="51">
        <f t="shared" si="50"/>
        <v>0</v>
      </c>
      <c r="AE94" s="51">
        <f t="shared" si="51"/>
        <v>0</v>
      </c>
      <c r="AF94" s="51">
        <f t="shared" si="52"/>
        <v>0</v>
      </c>
      <c r="AG94" s="51">
        <f t="shared" si="53"/>
        <v>0</v>
      </c>
      <c r="AH94" s="51">
        <f t="shared" si="54"/>
        <v>0</v>
      </c>
      <c r="AI94" s="51">
        <f t="shared" si="55"/>
        <v>0</v>
      </c>
      <c r="AJ94" s="51">
        <f t="shared" si="56"/>
        <v>0</v>
      </c>
      <c r="AK94" s="51">
        <f t="shared" si="57"/>
        <v>0</v>
      </c>
      <c r="AL94" s="51">
        <f t="shared" si="58"/>
        <v>0</v>
      </c>
      <c r="AM94" s="51">
        <f t="shared" si="59"/>
        <v>0</v>
      </c>
      <c r="AN94" s="51">
        <f t="shared" si="60"/>
        <v>0</v>
      </c>
      <c r="AO94" s="51">
        <f t="shared" si="61"/>
        <v>0</v>
      </c>
      <c r="AP94" s="51">
        <f t="shared" si="62"/>
        <v>0</v>
      </c>
      <c r="AQ94" s="51">
        <f t="shared" si="63"/>
        <v>0</v>
      </c>
      <c r="AR94" s="51">
        <f t="shared" si="64"/>
        <v>0</v>
      </c>
      <c r="AS94" s="51">
        <f t="shared" si="65"/>
        <v>0</v>
      </c>
      <c r="AT94" s="51">
        <f t="shared" si="66"/>
        <v>0</v>
      </c>
      <c r="AU94" s="51">
        <f t="shared" si="67"/>
        <v>0</v>
      </c>
      <c r="AV94" s="51">
        <f t="shared" si="68"/>
        <v>0</v>
      </c>
      <c r="AW94" s="51">
        <f t="shared" si="69"/>
        <v>0</v>
      </c>
      <c r="AX94" s="51">
        <f t="shared" si="70"/>
        <v>0</v>
      </c>
      <c r="AY94" s="51">
        <f t="shared" si="71"/>
        <v>0</v>
      </c>
      <c r="AZ94" s="51">
        <f t="shared" si="72"/>
        <v>0</v>
      </c>
      <c r="BA94" s="51">
        <f t="shared" si="73"/>
        <v>0</v>
      </c>
      <c r="BB94" s="51">
        <f t="shared" si="74"/>
        <v>0</v>
      </c>
      <c r="BC94" s="51">
        <f t="shared" si="75"/>
        <v>0</v>
      </c>
      <c r="BD94" s="51">
        <f t="shared" si="76"/>
        <v>0</v>
      </c>
      <c r="BE94" s="51">
        <f t="shared" si="77"/>
        <v>0</v>
      </c>
      <c r="BF94" s="51">
        <f t="shared" si="78"/>
        <v>0</v>
      </c>
      <c r="BG94" s="51">
        <f t="shared" si="79"/>
        <v>0</v>
      </c>
      <c r="BH94" s="51">
        <f t="shared" si="80"/>
        <v>0</v>
      </c>
      <c r="BI94" s="51">
        <f t="shared" si="81"/>
        <v>0</v>
      </c>
      <c r="BJ94" s="51">
        <f t="shared" si="82"/>
        <v>0</v>
      </c>
      <c r="BK94" s="51">
        <f t="shared" si="83"/>
        <v>0</v>
      </c>
      <c r="BL94" s="51">
        <f t="shared" si="84"/>
        <v>0</v>
      </c>
      <c r="BM94" s="51">
        <f t="shared" si="85"/>
        <v>0</v>
      </c>
      <c r="BN94" s="51">
        <f t="shared" si="86"/>
        <v>0</v>
      </c>
      <c r="BO94" s="51">
        <f t="shared" si="87"/>
        <v>0</v>
      </c>
      <c r="BP94" s="51">
        <f t="shared" si="88"/>
        <v>0</v>
      </c>
      <c r="BQ94" s="51">
        <f t="shared" si="89"/>
        <v>0</v>
      </c>
    </row>
    <row r="95" spans="1:69" ht="14.25" hidden="1" customHeight="1" thickBot="1" x14ac:dyDescent="0.3">
      <c r="A95" s="106"/>
      <c r="B95" s="91" t="s">
        <v>193</v>
      </c>
      <c r="C95" s="116"/>
      <c r="D95" s="112"/>
      <c r="E95" s="111"/>
      <c r="F95" s="112"/>
      <c r="G95" s="111"/>
      <c r="H95" s="112"/>
      <c r="I95" s="111"/>
      <c r="J95" s="112"/>
      <c r="K95" s="111"/>
      <c r="L95" s="112"/>
      <c r="M95" s="111"/>
      <c r="N95" s="112"/>
      <c r="O95" s="111"/>
      <c r="P95" s="191"/>
      <c r="X95" s="78"/>
      <c r="Z95" s="78"/>
      <c r="AA95" s="95" t="s">
        <v>193</v>
      </c>
      <c r="AB95" s="51">
        <f t="shared" si="48"/>
        <v>0</v>
      </c>
      <c r="AC95" s="51">
        <f t="shared" si="49"/>
        <v>0</v>
      </c>
      <c r="AD95" s="51">
        <f t="shared" si="50"/>
        <v>0</v>
      </c>
      <c r="AE95" s="51">
        <f t="shared" si="51"/>
        <v>0</v>
      </c>
      <c r="AF95" s="51">
        <f t="shared" si="52"/>
        <v>0</v>
      </c>
      <c r="AG95" s="51">
        <f t="shared" si="53"/>
        <v>0</v>
      </c>
      <c r="AH95" s="51">
        <f t="shared" si="54"/>
        <v>0</v>
      </c>
      <c r="AI95" s="51">
        <f t="shared" si="55"/>
        <v>0</v>
      </c>
      <c r="AJ95" s="51">
        <f t="shared" si="56"/>
        <v>0</v>
      </c>
      <c r="AK95" s="51">
        <f t="shared" si="57"/>
        <v>0</v>
      </c>
      <c r="AL95" s="51">
        <f t="shared" si="58"/>
        <v>0</v>
      </c>
      <c r="AM95" s="51">
        <f t="shared" si="59"/>
        <v>0</v>
      </c>
      <c r="AN95" s="51">
        <f t="shared" si="60"/>
        <v>0</v>
      </c>
      <c r="AO95" s="51">
        <f t="shared" si="61"/>
        <v>0</v>
      </c>
      <c r="AP95" s="51">
        <f t="shared" si="62"/>
        <v>0</v>
      </c>
      <c r="AQ95" s="51">
        <f t="shared" si="63"/>
        <v>0</v>
      </c>
      <c r="AR95" s="51">
        <f t="shared" si="64"/>
        <v>0</v>
      </c>
      <c r="AS95" s="51">
        <f t="shared" si="65"/>
        <v>0</v>
      </c>
      <c r="AT95" s="51">
        <f t="shared" si="66"/>
        <v>0</v>
      </c>
      <c r="AU95" s="51">
        <f t="shared" si="67"/>
        <v>0</v>
      </c>
      <c r="AV95" s="51">
        <f t="shared" si="68"/>
        <v>0</v>
      </c>
      <c r="AW95" s="51">
        <f t="shared" si="69"/>
        <v>0</v>
      </c>
      <c r="AX95" s="51">
        <f t="shared" si="70"/>
        <v>0</v>
      </c>
      <c r="AY95" s="51">
        <f t="shared" si="71"/>
        <v>0</v>
      </c>
      <c r="AZ95" s="51">
        <f t="shared" si="72"/>
        <v>0</v>
      </c>
      <c r="BA95" s="51">
        <f t="shared" si="73"/>
        <v>0</v>
      </c>
      <c r="BB95" s="51">
        <f t="shared" si="74"/>
        <v>0</v>
      </c>
      <c r="BC95" s="51">
        <f t="shared" si="75"/>
        <v>0</v>
      </c>
      <c r="BD95" s="51">
        <f t="shared" si="76"/>
        <v>0</v>
      </c>
      <c r="BE95" s="51">
        <f t="shared" si="77"/>
        <v>0</v>
      </c>
      <c r="BF95" s="51">
        <f t="shared" si="78"/>
        <v>0</v>
      </c>
      <c r="BG95" s="51">
        <f t="shared" si="79"/>
        <v>0</v>
      </c>
      <c r="BH95" s="51">
        <f t="shared" si="80"/>
        <v>0</v>
      </c>
      <c r="BI95" s="51">
        <f t="shared" si="81"/>
        <v>0</v>
      </c>
      <c r="BJ95" s="51">
        <f t="shared" si="82"/>
        <v>0</v>
      </c>
      <c r="BK95" s="51">
        <f t="shared" si="83"/>
        <v>0</v>
      </c>
      <c r="BL95" s="51">
        <f t="shared" si="84"/>
        <v>0</v>
      </c>
      <c r="BM95" s="51">
        <f t="shared" si="85"/>
        <v>0</v>
      </c>
      <c r="BN95" s="51">
        <f t="shared" si="86"/>
        <v>0</v>
      </c>
      <c r="BO95" s="51">
        <f t="shared" si="87"/>
        <v>0</v>
      </c>
      <c r="BP95" s="51">
        <f t="shared" si="88"/>
        <v>0</v>
      </c>
      <c r="BQ95" s="51">
        <f t="shared" si="89"/>
        <v>0</v>
      </c>
    </row>
    <row r="96" spans="1:69" ht="14.25" hidden="1" customHeight="1" thickBot="1" x14ac:dyDescent="0.3">
      <c r="A96" s="106"/>
      <c r="B96" s="91" t="s">
        <v>194</v>
      </c>
      <c r="C96" s="116"/>
      <c r="D96" s="112"/>
      <c r="E96" s="111"/>
      <c r="F96" s="112"/>
      <c r="G96" s="111"/>
      <c r="H96" s="112"/>
      <c r="I96" s="111"/>
      <c r="J96" s="112"/>
      <c r="K96" s="111"/>
      <c r="L96" s="112"/>
      <c r="M96" s="111"/>
      <c r="N96" s="112"/>
      <c r="O96" s="111"/>
      <c r="P96" s="191"/>
      <c r="X96" s="78"/>
      <c r="Z96" s="78"/>
      <c r="AA96" s="95" t="s">
        <v>194</v>
      </c>
      <c r="AB96" s="51">
        <f t="shared" si="48"/>
        <v>0</v>
      </c>
      <c r="AC96" s="51">
        <f t="shared" si="49"/>
        <v>0</v>
      </c>
      <c r="AD96" s="51">
        <f t="shared" si="50"/>
        <v>0</v>
      </c>
      <c r="AE96" s="51">
        <f t="shared" si="51"/>
        <v>0</v>
      </c>
      <c r="AF96" s="51">
        <f t="shared" si="52"/>
        <v>0</v>
      </c>
      <c r="AG96" s="51">
        <f t="shared" si="53"/>
        <v>0</v>
      </c>
      <c r="AH96" s="51">
        <f t="shared" si="54"/>
        <v>0</v>
      </c>
      <c r="AI96" s="51">
        <f t="shared" si="55"/>
        <v>0</v>
      </c>
      <c r="AJ96" s="51">
        <f t="shared" si="56"/>
        <v>0</v>
      </c>
      <c r="AK96" s="51">
        <f t="shared" si="57"/>
        <v>0</v>
      </c>
      <c r="AL96" s="51">
        <f t="shared" si="58"/>
        <v>0</v>
      </c>
      <c r="AM96" s="51">
        <f t="shared" si="59"/>
        <v>0</v>
      </c>
      <c r="AN96" s="51">
        <f t="shared" si="60"/>
        <v>0</v>
      </c>
      <c r="AO96" s="51">
        <f t="shared" si="61"/>
        <v>0</v>
      </c>
      <c r="AP96" s="51">
        <f t="shared" si="62"/>
        <v>0</v>
      </c>
      <c r="AQ96" s="51">
        <f t="shared" si="63"/>
        <v>0</v>
      </c>
      <c r="AR96" s="51">
        <f t="shared" si="64"/>
        <v>0</v>
      </c>
      <c r="AS96" s="51">
        <f t="shared" si="65"/>
        <v>0</v>
      </c>
      <c r="AT96" s="51">
        <f t="shared" si="66"/>
        <v>0</v>
      </c>
      <c r="AU96" s="51">
        <f t="shared" si="67"/>
        <v>0</v>
      </c>
      <c r="AV96" s="51">
        <f t="shared" si="68"/>
        <v>0</v>
      </c>
      <c r="AW96" s="51">
        <f t="shared" si="69"/>
        <v>0</v>
      </c>
      <c r="AX96" s="51">
        <f t="shared" si="70"/>
        <v>0</v>
      </c>
      <c r="AY96" s="51">
        <f t="shared" si="71"/>
        <v>0</v>
      </c>
      <c r="AZ96" s="51">
        <f t="shared" si="72"/>
        <v>0</v>
      </c>
      <c r="BA96" s="51">
        <f t="shared" si="73"/>
        <v>0</v>
      </c>
      <c r="BB96" s="51">
        <f t="shared" si="74"/>
        <v>0</v>
      </c>
      <c r="BC96" s="51">
        <f t="shared" si="75"/>
        <v>0</v>
      </c>
      <c r="BD96" s="51">
        <f t="shared" si="76"/>
        <v>0</v>
      </c>
      <c r="BE96" s="51">
        <f t="shared" si="77"/>
        <v>0</v>
      </c>
      <c r="BF96" s="51">
        <f t="shared" si="78"/>
        <v>0</v>
      </c>
      <c r="BG96" s="51">
        <f t="shared" si="79"/>
        <v>0</v>
      </c>
      <c r="BH96" s="51">
        <f t="shared" si="80"/>
        <v>0</v>
      </c>
      <c r="BI96" s="51">
        <f t="shared" si="81"/>
        <v>0</v>
      </c>
      <c r="BJ96" s="51">
        <f t="shared" si="82"/>
        <v>0</v>
      </c>
      <c r="BK96" s="51">
        <f t="shared" si="83"/>
        <v>0</v>
      </c>
      <c r="BL96" s="51">
        <f t="shared" si="84"/>
        <v>0</v>
      </c>
      <c r="BM96" s="51">
        <f t="shared" si="85"/>
        <v>0</v>
      </c>
      <c r="BN96" s="51">
        <f t="shared" si="86"/>
        <v>0</v>
      </c>
      <c r="BO96" s="51">
        <f t="shared" si="87"/>
        <v>0</v>
      </c>
      <c r="BP96" s="51">
        <f t="shared" si="88"/>
        <v>0</v>
      </c>
      <c r="BQ96" s="51">
        <f t="shared" si="89"/>
        <v>0</v>
      </c>
    </row>
    <row r="97" spans="1:69" ht="14.25" hidden="1" customHeight="1" thickBot="1" x14ac:dyDescent="0.3">
      <c r="A97" s="106"/>
      <c r="B97" s="91" t="s">
        <v>195</v>
      </c>
      <c r="C97" s="116"/>
      <c r="D97" s="112"/>
      <c r="E97" s="111"/>
      <c r="F97" s="112"/>
      <c r="G97" s="111"/>
      <c r="H97" s="112"/>
      <c r="I97" s="111"/>
      <c r="J97" s="112"/>
      <c r="K97" s="111"/>
      <c r="L97" s="112"/>
      <c r="M97" s="111"/>
      <c r="N97" s="112"/>
      <c r="O97" s="111"/>
      <c r="P97" s="191"/>
      <c r="X97" s="78"/>
      <c r="Z97" s="78"/>
      <c r="AA97" s="95" t="s">
        <v>195</v>
      </c>
      <c r="AB97" s="51">
        <f t="shared" si="48"/>
        <v>0</v>
      </c>
      <c r="AC97" s="51">
        <f t="shared" si="49"/>
        <v>0</v>
      </c>
      <c r="AD97" s="51">
        <f t="shared" si="50"/>
        <v>0</v>
      </c>
      <c r="AE97" s="51">
        <f t="shared" si="51"/>
        <v>0</v>
      </c>
      <c r="AF97" s="51">
        <f t="shared" si="52"/>
        <v>0</v>
      </c>
      <c r="AG97" s="51">
        <f t="shared" si="53"/>
        <v>0</v>
      </c>
      <c r="AH97" s="51">
        <f t="shared" si="54"/>
        <v>0</v>
      </c>
      <c r="AI97" s="51">
        <f t="shared" si="55"/>
        <v>0</v>
      </c>
      <c r="AJ97" s="51">
        <f t="shared" si="56"/>
        <v>0</v>
      </c>
      <c r="AK97" s="51">
        <f t="shared" si="57"/>
        <v>0</v>
      </c>
      <c r="AL97" s="51">
        <f t="shared" si="58"/>
        <v>0</v>
      </c>
      <c r="AM97" s="51">
        <f t="shared" si="59"/>
        <v>0</v>
      </c>
      <c r="AN97" s="51">
        <f t="shared" si="60"/>
        <v>0</v>
      </c>
      <c r="AO97" s="51">
        <f t="shared" si="61"/>
        <v>0</v>
      </c>
      <c r="AP97" s="51">
        <f t="shared" si="62"/>
        <v>0</v>
      </c>
      <c r="AQ97" s="51">
        <f t="shared" si="63"/>
        <v>0</v>
      </c>
      <c r="AR97" s="51">
        <f t="shared" si="64"/>
        <v>0</v>
      </c>
      <c r="AS97" s="51">
        <f t="shared" si="65"/>
        <v>0</v>
      </c>
      <c r="AT97" s="51">
        <f t="shared" si="66"/>
        <v>0</v>
      </c>
      <c r="AU97" s="51">
        <f t="shared" si="67"/>
        <v>0</v>
      </c>
      <c r="AV97" s="51">
        <f t="shared" si="68"/>
        <v>0</v>
      </c>
      <c r="AW97" s="51">
        <f t="shared" si="69"/>
        <v>0</v>
      </c>
      <c r="AX97" s="51">
        <f t="shared" si="70"/>
        <v>0</v>
      </c>
      <c r="AY97" s="51">
        <f t="shared" si="71"/>
        <v>0</v>
      </c>
      <c r="AZ97" s="51">
        <f t="shared" si="72"/>
        <v>0</v>
      </c>
      <c r="BA97" s="51">
        <f t="shared" si="73"/>
        <v>0</v>
      </c>
      <c r="BB97" s="51">
        <f t="shared" si="74"/>
        <v>0</v>
      </c>
      <c r="BC97" s="51">
        <f t="shared" si="75"/>
        <v>0</v>
      </c>
      <c r="BD97" s="51">
        <f t="shared" si="76"/>
        <v>0</v>
      </c>
      <c r="BE97" s="51">
        <f t="shared" si="77"/>
        <v>0</v>
      </c>
      <c r="BF97" s="51">
        <f t="shared" si="78"/>
        <v>0</v>
      </c>
      <c r="BG97" s="51">
        <f t="shared" si="79"/>
        <v>0</v>
      </c>
      <c r="BH97" s="51">
        <f t="shared" si="80"/>
        <v>0</v>
      </c>
      <c r="BI97" s="51">
        <f t="shared" si="81"/>
        <v>0</v>
      </c>
      <c r="BJ97" s="51">
        <f t="shared" si="82"/>
        <v>0</v>
      </c>
      <c r="BK97" s="51">
        <f t="shared" si="83"/>
        <v>0</v>
      </c>
      <c r="BL97" s="51">
        <f t="shared" si="84"/>
        <v>0</v>
      </c>
      <c r="BM97" s="51">
        <f t="shared" si="85"/>
        <v>0</v>
      </c>
      <c r="BN97" s="51">
        <f t="shared" si="86"/>
        <v>0</v>
      </c>
      <c r="BO97" s="51">
        <f t="shared" si="87"/>
        <v>0</v>
      </c>
      <c r="BP97" s="51">
        <f t="shared" si="88"/>
        <v>0</v>
      </c>
      <c r="BQ97" s="51">
        <f t="shared" si="89"/>
        <v>0</v>
      </c>
    </row>
    <row r="98" spans="1:69" ht="14.25" hidden="1" customHeight="1" thickBot="1" x14ac:dyDescent="0.3">
      <c r="A98" s="106"/>
      <c r="B98" s="91" t="s">
        <v>196</v>
      </c>
      <c r="C98" s="116"/>
      <c r="D98" s="112"/>
      <c r="E98" s="111"/>
      <c r="F98" s="112"/>
      <c r="G98" s="111"/>
      <c r="H98" s="112"/>
      <c r="I98" s="111"/>
      <c r="J98" s="112"/>
      <c r="K98" s="111"/>
      <c r="L98" s="112"/>
      <c r="M98" s="111"/>
      <c r="N98" s="112"/>
      <c r="O98" s="111"/>
      <c r="P98" s="191"/>
      <c r="X98" s="78"/>
      <c r="Z98" s="78"/>
      <c r="AA98" s="95" t="s">
        <v>196</v>
      </c>
      <c r="AB98" s="51">
        <f t="shared" si="48"/>
        <v>0</v>
      </c>
      <c r="AC98" s="51">
        <f t="shared" si="49"/>
        <v>0</v>
      </c>
      <c r="AD98" s="51">
        <f t="shared" si="50"/>
        <v>0</v>
      </c>
      <c r="AE98" s="51">
        <f t="shared" si="51"/>
        <v>0</v>
      </c>
      <c r="AF98" s="51">
        <f t="shared" si="52"/>
        <v>0</v>
      </c>
      <c r="AG98" s="51">
        <f t="shared" si="53"/>
        <v>0</v>
      </c>
      <c r="AH98" s="51">
        <f t="shared" si="54"/>
        <v>0</v>
      </c>
      <c r="AI98" s="51">
        <f t="shared" si="55"/>
        <v>0</v>
      </c>
      <c r="AJ98" s="51">
        <f t="shared" si="56"/>
        <v>0</v>
      </c>
      <c r="AK98" s="51">
        <f t="shared" si="57"/>
        <v>0</v>
      </c>
      <c r="AL98" s="51">
        <f t="shared" si="58"/>
        <v>0</v>
      </c>
      <c r="AM98" s="51">
        <f t="shared" si="59"/>
        <v>0</v>
      </c>
      <c r="AN98" s="51">
        <f t="shared" si="60"/>
        <v>0</v>
      </c>
      <c r="AO98" s="51">
        <f t="shared" si="61"/>
        <v>0</v>
      </c>
      <c r="AP98" s="51">
        <f t="shared" si="62"/>
        <v>0</v>
      </c>
      <c r="AQ98" s="51">
        <f t="shared" si="63"/>
        <v>0</v>
      </c>
      <c r="AR98" s="51">
        <f t="shared" si="64"/>
        <v>0</v>
      </c>
      <c r="AS98" s="51">
        <f t="shared" si="65"/>
        <v>0</v>
      </c>
      <c r="AT98" s="51">
        <f t="shared" si="66"/>
        <v>0</v>
      </c>
      <c r="AU98" s="51">
        <f t="shared" si="67"/>
        <v>0</v>
      </c>
      <c r="AV98" s="51">
        <f t="shared" si="68"/>
        <v>0</v>
      </c>
      <c r="AW98" s="51">
        <f t="shared" si="69"/>
        <v>0</v>
      </c>
      <c r="AX98" s="51">
        <f t="shared" si="70"/>
        <v>0</v>
      </c>
      <c r="AY98" s="51">
        <f t="shared" si="71"/>
        <v>0</v>
      </c>
      <c r="AZ98" s="51">
        <f t="shared" si="72"/>
        <v>0</v>
      </c>
      <c r="BA98" s="51">
        <f t="shared" si="73"/>
        <v>0</v>
      </c>
      <c r="BB98" s="51">
        <f t="shared" si="74"/>
        <v>0</v>
      </c>
      <c r="BC98" s="51">
        <f t="shared" si="75"/>
        <v>0</v>
      </c>
      <c r="BD98" s="51">
        <f t="shared" si="76"/>
        <v>0</v>
      </c>
      <c r="BE98" s="51">
        <f t="shared" si="77"/>
        <v>0</v>
      </c>
      <c r="BF98" s="51">
        <f t="shared" si="78"/>
        <v>0</v>
      </c>
      <c r="BG98" s="51">
        <f t="shared" si="79"/>
        <v>0</v>
      </c>
      <c r="BH98" s="51">
        <f t="shared" si="80"/>
        <v>0</v>
      </c>
      <c r="BI98" s="51">
        <f t="shared" si="81"/>
        <v>0</v>
      </c>
      <c r="BJ98" s="51">
        <f t="shared" si="82"/>
        <v>0</v>
      </c>
      <c r="BK98" s="51">
        <f t="shared" si="83"/>
        <v>0</v>
      </c>
      <c r="BL98" s="51">
        <f t="shared" si="84"/>
        <v>0</v>
      </c>
      <c r="BM98" s="51">
        <f t="shared" si="85"/>
        <v>0</v>
      </c>
      <c r="BN98" s="51">
        <f t="shared" si="86"/>
        <v>0</v>
      </c>
      <c r="BO98" s="51">
        <f t="shared" si="87"/>
        <v>0</v>
      </c>
      <c r="BP98" s="51">
        <f t="shared" si="88"/>
        <v>0</v>
      </c>
      <c r="BQ98" s="51">
        <f t="shared" si="89"/>
        <v>0</v>
      </c>
    </row>
    <row r="99" spans="1:69" ht="14.25" hidden="1" customHeight="1" thickBot="1" x14ac:dyDescent="0.3">
      <c r="A99" s="106"/>
      <c r="B99" s="91" t="s">
        <v>197</v>
      </c>
      <c r="C99" s="116"/>
      <c r="D99" s="112"/>
      <c r="E99" s="111"/>
      <c r="F99" s="112"/>
      <c r="G99" s="111"/>
      <c r="H99" s="112"/>
      <c r="I99" s="111"/>
      <c r="J99" s="112"/>
      <c r="K99" s="111"/>
      <c r="L99" s="112"/>
      <c r="M99" s="111"/>
      <c r="N99" s="112"/>
      <c r="O99" s="111"/>
      <c r="P99" s="191"/>
      <c r="X99" s="78"/>
      <c r="Z99" s="78"/>
      <c r="AA99" s="95" t="s">
        <v>197</v>
      </c>
      <c r="AB99" s="51">
        <f t="shared" si="48"/>
        <v>0</v>
      </c>
      <c r="AC99" s="51">
        <f t="shared" si="49"/>
        <v>0</v>
      </c>
      <c r="AD99" s="51">
        <f t="shared" si="50"/>
        <v>0</v>
      </c>
      <c r="AE99" s="51">
        <f t="shared" si="51"/>
        <v>0</v>
      </c>
      <c r="AF99" s="51">
        <f t="shared" si="52"/>
        <v>0</v>
      </c>
      <c r="AG99" s="51">
        <f t="shared" si="53"/>
        <v>0</v>
      </c>
      <c r="AH99" s="51">
        <f t="shared" si="54"/>
        <v>0</v>
      </c>
      <c r="AI99" s="51">
        <f t="shared" si="55"/>
        <v>0</v>
      </c>
      <c r="AJ99" s="51">
        <f t="shared" si="56"/>
        <v>0</v>
      </c>
      <c r="AK99" s="51">
        <f t="shared" si="57"/>
        <v>0</v>
      </c>
      <c r="AL99" s="51">
        <f t="shared" si="58"/>
        <v>0</v>
      </c>
      <c r="AM99" s="51">
        <f t="shared" si="59"/>
        <v>0</v>
      </c>
      <c r="AN99" s="51">
        <f t="shared" si="60"/>
        <v>0</v>
      </c>
      <c r="AO99" s="51">
        <f t="shared" si="61"/>
        <v>0</v>
      </c>
      <c r="AP99" s="51">
        <f t="shared" si="62"/>
        <v>0</v>
      </c>
      <c r="AQ99" s="51">
        <f t="shared" si="63"/>
        <v>0</v>
      </c>
      <c r="AR99" s="51">
        <f t="shared" si="64"/>
        <v>0</v>
      </c>
      <c r="AS99" s="51">
        <f t="shared" si="65"/>
        <v>0</v>
      </c>
      <c r="AT99" s="51">
        <f t="shared" si="66"/>
        <v>0</v>
      </c>
      <c r="AU99" s="51">
        <f t="shared" si="67"/>
        <v>0</v>
      </c>
      <c r="AV99" s="51">
        <f t="shared" si="68"/>
        <v>0</v>
      </c>
      <c r="AW99" s="51">
        <f t="shared" si="69"/>
        <v>0</v>
      </c>
      <c r="AX99" s="51">
        <f t="shared" si="70"/>
        <v>0</v>
      </c>
      <c r="AY99" s="51">
        <f t="shared" si="71"/>
        <v>0</v>
      </c>
      <c r="AZ99" s="51">
        <f t="shared" si="72"/>
        <v>0</v>
      </c>
      <c r="BA99" s="51">
        <f t="shared" si="73"/>
        <v>0</v>
      </c>
      <c r="BB99" s="51">
        <f t="shared" si="74"/>
        <v>0</v>
      </c>
      <c r="BC99" s="51">
        <f t="shared" si="75"/>
        <v>0</v>
      </c>
      <c r="BD99" s="51">
        <f t="shared" si="76"/>
        <v>0</v>
      </c>
      <c r="BE99" s="51">
        <f t="shared" si="77"/>
        <v>0</v>
      </c>
      <c r="BF99" s="51">
        <f t="shared" si="78"/>
        <v>0</v>
      </c>
      <c r="BG99" s="51">
        <f t="shared" si="79"/>
        <v>0</v>
      </c>
      <c r="BH99" s="51">
        <f t="shared" si="80"/>
        <v>0</v>
      </c>
      <c r="BI99" s="51">
        <f t="shared" si="81"/>
        <v>0</v>
      </c>
      <c r="BJ99" s="51">
        <f t="shared" si="82"/>
        <v>0</v>
      </c>
      <c r="BK99" s="51">
        <f t="shared" si="83"/>
        <v>0</v>
      </c>
      <c r="BL99" s="51">
        <f t="shared" si="84"/>
        <v>0</v>
      </c>
      <c r="BM99" s="51">
        <f t="shared" si="85"/>
        <v>0</v>
      </c>
      <c r="BN99" s="51">
        <f t="shared" si="86"/>
        <v>0</v>
      </c>
      <c r="BO99" s="51">
        <f t="shared" si="87"/>
        <v>0</v>
      </c>
      <c r="BP99" s="51">
        <f t="shared" si="88"/>
        <v>0</v>
      </c>
      <c r="BQ99" s="51">
        <f t="shared" si="89"/>
        <v>0</v>
      </c>
    </row>
    <row r="100" spans="1:69" ht="14.25" hidden="1" customHeight="1" thickBot="1" x14ac:dyDescent="0.3">
      <c r="A100" s="106"/>
      <c r="B100" s="91" t="s">
        <v>198</v>
      </c>
      <c r="C100" s="116"/>
      <c r="D100" s="112"/>
      <c r="E100" s="111"/>
      <c r="F100" s="112"/>
      <c r="G100" s="111"/>
      <c r="H100" s="112"/>
      <c r="I100" s="111"/>
      <c r="J100" s="112"/>
      <c r="K100" s="111"/>
      <c r="L100" s="112"/>
      <c r="M100" s="111"/>
      <c r="N100" s="112"/>
      <c r="O100" s="111"/>
      <c r="P100" s="191"/>
      <c r="X100" s="78"/>
      <c r="Z100" s="78"/>
      <c r="AA100" s="95" t="s">
        <v>198</v>
      </c>
      <c r="AB100" s="51">
        <f t="shared" si="48"/>
        <v>0</v>
      </c>
      <c r="AC100" s="51">
        <f t="shared" si="49"/>
        <v>0</v>
      </c>
      <c r="AD100" s="51">
        <f t="shared" si="50"/>
        <v>0</v>
      </c>
      <c r="AE100" s="51">
        <f t="shared" si="51"/>
        <v>0</v>
      </c>
      <c r="AF100" s="51">
        <f t="shared" si="52"/>
        <v>0</v>
      </c>
      <c r="AG100" s="51">
        <f t="shared" si="53"/>
        <v>0</v>
      </c>
      <c r="AH100" s="51">
        <f t="shared" si="54"/>
        <v>0</v>
      </c>
      <c r="AI100" s="51">
        <f t="shared" si="55"/>
        <v>0</v>
      </c>
      <c r="AJ100" s="51">
        <f t="shared" si="56"/>
        <v>0</v>
      </c>
      <c r="AK100" s="51">
        <f t="shared" si="57"/>
        <v>0</v>
      </c>
      <c r="AL100" s="51">
        <f t="shared" si="58"/>
        <v>0</v>
      </c>
      <c r="AM100" s="51">
        <f t="shared" si="59"/>
        <v>0</v>
      </c>
      <c r="AN100" s="51">
        <f t="shared" si="60"/>
        <v>0</v>
      </c>
      <c r="AO100" s="51">
        <f t="shared" si="61"/>
        <v>0</v>
      </c>
      <c r="AP100" s="51">
        <f t="shared" si="62"/>
        <v>0</v>
      </c>
      <c r="AQ100" s="51">
        <f t="shared" si="63"/>
        <v>0</v>
      </c>
      <c r="AR100" s="51">
        <f t="shared" si="64"/>
        <v>0</v>
      </c>
      <c r="AS100" s="51">
        <f t="shared" si="65"/>
        <v>0</v>
      </c>
      <c r="AT100" s="51">
        <f t="shared" si="66"/>
        <v>0</v>
      </c>
      <c r="AU100" s="51">
        <f t="shared" si="67"/>
        <v>0</v>
      </c>
      <c r="AV100" s="51">
        <f t="shared" si="68"/>
        <v>0</v>
      </c>
      <c r="AW100" s="51">
        <f t="shared" si="69"/>
        <v>0</v>
      </c>
      <c r="AX100" s="51">
        <f t="shared" si="70"/>
        <v>0</v>
      </c>
      <c r="AY100" s="51">
        <f t="shared" si="71"/>
        <v>0</v>
      </c>
      <c r="AZ100" s="51">
        <f t="shared" si="72"/>
        <v>0</v>
      </c>
      <c r="BA100" s="51">
        <f t="shared" si="73"/>
        <v>0</v>
      </c>
      <c r="BB100" s="51">
        <f t="shared" si="74"/>
        <v>0</v>
      </c>
      <c r="BC100" s="51">
        <f t="shared" si="75"/>
        <v>0</v>
      </c>
      <c r="BD100" s="51">
        <f t="shared" si="76"/>
        <v>0</v>
      </c>
      <c r="BE100" s="51">
        <f t="shared" si="77"/>
        <v>0</v>
      </c>
      <c r="BF100" s="51">
        <f t="shared" si="78"/>
        <v>0</v>
      </c>
      <c r="BG100" s="51">
        <f t="shared" si="79"/>
        <v>0</v>
      </c>
      <c r="BH100" s="51">
        <f t="shared" si="80"/>
        <v>0</v>
      </c>
      <c r="BI100" s="51">
        <f t="shared" si="81"/>
        <v>0</v>
      </c>
      <c r="BJ100" s="51">
        <f t="shared" si="82"/>
        <v>0</v>
      </c>
      <c r="BK100" s="51">
        <f t="shared" si="83"/>
        <v>0</v>
      </c>
      <c r="BL100" s="51">
        <f t="shared" si="84"/>
        <v>0</v>
      </c>
      <c r="BM100" s="51">
        <f t="shared" si="85"/>
        <v>0</v>
      </c>
      <c r="BN100" s="51">
        <f t="shared" si="86"/>
        <v>0</v>
      </c>
      <c r="BO100" s="51">
        <f t="shared" si="87"/>
        <v>0</v>
      </c>
      <c r="BP100" s="51">
        <f t="shared" si="88"/>
        <v>0</v>
      </c>
      <c r="BQ100" s="51">
        <f t="shared" si="89"/>
        <v>0</v>
      </c>
    </row>
    <row r="101" spans="1:69" ht="14.25" hidden="1" customHeight="1" thickBot="1" x14ac:dyDescent="0.3">
      <c r="A101" s="106"/>
      <c r="B101" s="91" t="s">
        <v>199</v>
      </c>
      <c r="C101" s="116"/>
      <c r="D101" s="112"/>
      <c r="E101" s="111"/>
      <c r="F101" s="112"/>
      <c r="G101" s="111"/>
      <c r="H101" s="112"/>
      <c r="I101" s="111"/>
      <c r="J101" s="112"/>
      <c r="K101" s="111"/>
      <c r="L101" s="112"/>
      <c r="M101" s="111"/>
      <c r="N101" s="112"/>
      <c r="O101" s="111"/>
      <c r="P101" s="191"/>
      <c r="X101" s="78"/>
      <c r="Z101" s="78"/>
      <c r="AA101" s="95" t="s">
        <v>199</v>
      </c>
      <c r="AB101" s="51">
        <f t="shared" si="48"/>
        <v>0</v>
      </c>
      <c r="AC101" s="51">
        <f t="shared" si="49"/>
        <v>0</v>
      </c>
      <c r="AD101" s="51">
        <f t="shared" si="50"/>
        <v>0</v>
      </c>
      <c r="AE101" s="51">
        <f t="shared" si="51"/>
        <v>0</v>
      </c>
      <c r="AF101" s="51">
        <f t="shared" si="52"/>
        <v>0</v>
      </c>
      <c r="AG101" s="51">
        <f t="shared" si="53"/>
        <v>0</v>
      </c>
      <c r="AH101" s="51">
        <f t="shared" si="54"/>
        <v>0</v>
      </c>
      <c r="AI101" s="51">
        <f t="shared" si="55"/>
        <v>0</v>
      </c>
      <c r="AJ101" s="51">
        <f t="shared" si="56"/>
        <v>0</v>
      </c>
      <c r="AK101" s="51">
        <f t="shared" si="57"/>
        <v>0</v>
      </c>
      <c r="AL101" s="51">
        <f t="shared" si="58"/>
        <v>0</v>
      </c>
      <c r="AM101" s="51">
        <f t="shared" si="59"/>
        <v>0</v>
      </c>
      <c r="AN101" s="51">
        <f t="shared" si="60"/>
        <v>0</v>
      </c>
      <c r="AO101" s="51">
        <f t="shared" si="61"/>
        <v>0</v>
      </c>
      <c r="AP101" s="51">
        <f t="shared" si="62"/>
        <v>0</v>
      </c>
      <c r="AQ101" s="51">
        <f t="shared" si="63"/>
        <v>0</v>
      </c>
      <c r="AR101" s="51">
        <f t="shared" si="64"/>
        <v>0</v>
      </c>
      <c r="AS101" s="51">
        <f t="shared" si="65"/>
        <v>0</v>
      </c>
      <c r="AT101" s="51">
        <f t="shared" si="66"/>
        <v>0</v>
      </c>
      <c r="AU101" s="51">
        <f t="shared" si="67"/>
        <v>0</v>
      </c>
      <c r="AV101" s="51">
        <f t="shared" si="68"/>
        <v>0</v>
      </c>
      <c r="AW101" s="51">
        <f t="shared" si="69"/>
        <v>0</v>
      </c>
      <c r="AX101" s="51">
        <f t="shared" si="70"/>
        <v>0</v>
      </c>
      <c r="AY101" s="51">
        <f t="shared" si="71"/>
        <v>0</v>
      </c>
      <c r="AZ101" s="51">
        <f t="shared" si="72"/>
        <v>0</v>
      </c>
      <c r="BA101" s="51">
        <f t="shared" si="73"/>
        <v>0</v>
      </c>
      <c r="BB101" s="51">
        <f t="shared" si="74"/>
        <v>0</v>
      </c>
      <c r="BC101" s="51">
        <f t="shared" si="75"/>
        <v>0</v>
      </c>
      <c r="BD101" s="51">
        <f t="shared" si="76"/>
        <v>0</v>
      </c>
      <c r="BE101" s="51">
        <f t="shared" si="77"/>
        <v>0</v>
      </c>
      <c r="BF101" s="51">
        <f t="shared" si="78"/>
        <v>0</v>
      </c>
      <c r="BG101" s="51">
        <f t="shared" si="79"/>
        <v>0</v>
      </c>
      <c r="BH101" s="51">
        <f t="shared" si="80"/>
        <v>0</v>
      </c>
      <c r="BI101" s="51">
        <f t="shared" si="81"/>
        <v>0</v>
      </c>
      <c r="BJ101" s="51">
        <f t="shared" si="82"/>
        <v>0</v>
      </c>
      <c r="BK101" s="51">
        <f t="shared" si="83"/>
        <v>0</v>
      </c>
      <c r="BL101" s="51">
        <f t="shared" si="84"/>
        <v>0</v>
      </c>
      <c r="BM101" s="51">
        <f t="shared" si="85"/>
        <v>0</v>
      </c>
      <c r="BN101" s="51">
        <f t="shared" si="86"/>
        <v>0</v>
      </c>
      <c r="BO101" s="51">
        <f t="shared" si="87"/>
        <v>0</v>
      </c>
      <c r="BP101" s="51">
        <f t="shared" si="88"/>
        <v>0</v>
      </c>
      <c r="BQ101" s="51">
        <f t="shared" si="89"/>
        <v>0</v>
      </c>
    </row>
    <row r="102" spans="1:69" ht="14.25" hidden="1" customHeight="1" thickBot="1" x14ac:dyDescent="0.3">
      <c r="A102" s="106"/>
      <c r="B102" s="91" t="s">
        <v>200</v>
      </c>
      <c r="C102" s="116"/>
      <c r="D102" s="112"/>
      <c r="E102" s="111"/>
      <c r="F102" s="112"/>
      <c r="G102" s="111"/>
      <c r="H102" s="112"/>
      <c r="I102" s="111"/>
      <c r="J102" s="112"/>
      <c r="K102" s="111"/>
      <c r="L102" s="112"/>
      <c r="M102" s="111"/>
      <c r="N102" s="112"/>
      <c r="O102" s="111"/>
      <c r="P102" s="191"/>
      <c r="X102" s="78"/>
      <c r="Z102" s="78"/>
      <c r="AA102" s="95" t="s">
        <v>200</v>
      </c>
      <c r="AB102" s="51">
        <f t="shared" si="48"/>
        <v>0</v>
      </c>
      <c r="AC102" s="51">
        <f t="shared" si="49"/>
        <v>0</v>
      </c>
      <c r="AD102" s="51">
        <f t="shared" si="50"/>
        <v>0</v>
      </c>
      <c r="AE102" s="51">
        <f t="shared" si="51"/>
        <v>0</v>
      </c>
      <c r="AF102" s="51">
        <f t="shared" si="52"/>
        <v>0</v>
      </c>
      <c r="AG102" s="51">
        <f t="shared" si="53"/>
        <v>0</v>
      </c>
      <c r="AH102" s="51">
        <f t="shared" si="54"/>
        <v>0</v>
      </c>
      <c r="AI102" s="51">
        <f t="shared" si="55"/>
        <v>0</v>
      </c>
      <c r="AJ102" s="51">
        <f t="shared" si="56"/>
        <v>0</v>
      </c>
      <c r="AK102" s="51">
        <f t="shared" si="57"/>
        <v>0</v>
      </c>
      <c r="AL102" s="51">
        <f t="shared" si="58"/>
        <v>0</v>
      </c>
      <c r="AM102" s="51">
        <f t="shared" si="59"/>
        <v>0</v>
      </c>
      <c r="AN102" s="51">
        <f t="shared" si="60"/>
        <v>0</v>
      </c>
      <c r="AO102" s="51">
        <f t="shared" si="61"/>
        <v>0</v>
      </c>
      <c r="AP102" s="51">
        <f t="shared" si="62"/>
        <v>0</v>
      </c>
      <c r="AQ102" s="51">
        <f t="shared" si="63"/>
        <v>0</v>
      </c>
      <c r="AR102" s="51">
        <f t="shared" si="64"/>
        <v>0</v>
      </c>
      <c r="AS102" s="51">
        <f t="shared" si="65"/>
        <v>0</v>
      </c>
      <c r="AT102" s="51">
        <f t="shared" si="66"/>
        <v>0</v>
      </c>
      <c r="AU102" s="51">
        <f t="shared" si="67"/>
        <v>0</v>
      </c>
      <c r="AV102" s="51">
        <f t="shared" si="68"/>
        <v>0</v>
      </c>
      <c r="AW102" s="51">
        <f t="shared" si="69"/>
        <v>0</v>
      </c>
      <c r="AX102" s="51">
        <f t="shared" si="70"/>
        <v>0</v>
      </c>
      <c r="AY102" s="51">
        <f t="shared" si="71"/>
        <v>0</v>
      </c>
      <c r="AZ102" s="51">
        <f t="shared" si="72"/>
        <v>0</v>
      </c>
      <c r="BA102" s="51">
        <f t="shared" si="73"/>
        <v>0</v>
      </c>
      <c r="BB102" s="51">
        <f t="shared" si="74"/>
        <v>0</v>
      </c>
      <c r="BC102" s="51">
        <f t="shared" si="75"/>
        <v>0</v>
      </c>
      <c r="BD102" s="51">
        <f t="shared" si="76"/>
        <v>0</v>
      </c>
      <c r="BE102" s="51">
        <f t="shared" si="77"/>
        <v>0</v>
      </c>
      <c r="BF102" s="51">
        <f t="shared" si="78"/>
        <v>0</v>
      </c>
      <c r="BG102" s="51">
        <f t="shared" si="79"/>
        <v>0</v>
      </c>
      <c r="BH102" s="51">
        <f t="shared" si="80"/>
        <v>0</v>
      </c>
      <c r="BI102" s="51">
        <f t="shared" si="81"/>
        <v>0</v>
      </c>
      <c r="BJ102" s="51">
        <f t="shared" si="82"/>
        <v>0</v>
      </c>
      <c r="BK102" s="51">
        <f t="shared" si="83"/>
        <v>0</v>
      </c>
      <c r="BL102" s="51">
        <f t="shared" si="84"/>
        <v>0</v>
      </c>
      <c r="BM102" s="51">
        <f t="shared" si="85"/>
        <v>0</v>
      </c>
      <c r="BN102" s="51">
        <f t="shared" si="86"/>
        <v>0</v>
      </c>
      <c r="BO102" s="51">
        <f t="shared" si="87"/>
        <v>0</v>
      </c>
      <c r="BP102" s="51">
        <f t="shared" si="88"/>
        <v>0</v>
      </c>
      <c r="BQ102" s="51">
        <f t="shared" si="89"/>
        <v>0</v>
      </c>
    </row>
    <row r="103" spans="1:69" ht="14.25" hidden="1" customHeight="1" thickBot="1" x14ac:dyDescent="0.3">
      <c r="A103" s="106"/>
      <c r="B103" s="91" t="s">
        <v>201</v>
      </c>
      <c r="C103" s="116"/>
      <c r="D103" s="112"/>
      <c r="E103" s="111"/>
      <c r="F103" s="112"/>
      <c r="G103" s="111"/>
      <c r="H103" s="112"/>
      <c r="I103" s="111"/>
      <c r="J103" s="112"/>
      <c r="K103" s="111"/>
      <c r="L103" s="112"/>
      <c r="M103" s="111"/>
      <c r="N103" s="112"/>
      <c r="O103" s="111"/>
      <c r="P103" s="191"/>
      <c r="X103" s="78"/>
      <c r="Z103" s="78"/>
      <c r="AA103" s="95" t="s">
        <v>201</v>
      </c>
      <c r="AB103" s="51">
        <f t="shared" si="48"/>
        <v>0</v>
      </c>
      <c r="AC103" s="51">
        <f t="shared" si="49"/>
        <v>0</v>
      </c>
      <c r="AD103" s="51">
        <f t="shared" si="50"/>
        <v>0</v>
      </c>
      <c r="AE103" s="51">
        <f t="shared" si="51"/>
        <v>0</v>
      </c>
      <c r="AF103" s="51">
        <f t="shared" si="52"/>
        <v>0</v>
      </c>
      <c r="AG103" s="51">
        <f t="shared" si="53"/>
        <v>0</v>
      </c>
      <c r="AH103" s="51">
        <f t="shared" si="54"/>
        <v>0</v>
      </c>
      <c r="AI103" s="51">
        <f t="shared" si="55"/>
        <v>0</v>
      </c>
      <c r="AJ103" s="51">
        <f t="shared" si="56"/>
        <v>0</v>
      </c>
      <c r="AK103" s="51">
        <f t="shared" si="57"/>
        <v>0</v>
      </c>
      <c r="AL103" s="51">
        <f t="shared" si="58"/>
        <v>0</v>
      </c>
      <c r="AM103" s="51">
        <f t="shared" si="59"/>
        <v>0</v>
      </c>
      <c r="AN103" s="51">
        <f t="shared" si="60"/>
        <v>0</v>
      </c>
      <c r="AO103" s="51">
        <f t="shared" si="61"/>
        <v>0</v>
      </c>
      <c r="AP103" s="51">
        <f t="shared" si="62"/>
        <v>0</v>
      </c>
      <c r="AQ103" s="51">
        <f t="shared" si="63"/>
        <v>0</v>
      </c>
      <c r="AR103" s="51">
        <f t="shared" si="64"/>
        <v>0</v>
      </c>
      <c r="AS103" s="51">
        <f t="shared" si="65"/>
        <v>0</v>
      </c>
      <c r="AT103" s="51">
        <f t="shared" si="66"/>
        <v>0</v>
      </c>
      <c r="AU103" s="51">
        <f t="shared" si="67"/>
        <v>0</v>
      </c>
      <c r="AV103" s="51">
        <f t="shared" si="68"/>
        <v>0</v>
      </c>
      <c r="AW103" s="51">
        <f t="shared" si="69"/>
        <v>0</v>
      </c>
      <c r="AX103" s="51">
        <f t="shared" si="70"/>
        <v>0</v>
      </c>
      <c r="AY103" s="51">
        <f t="shared" si="71"/>
        <v>0</v>
      </c>
      <c r="AZ103" s="51">
        <f t="shared" si="72"/>
        <v>0</v>
      </c>
      <c r="BA103" s="51">
        <f t="shared" si="73"/>
        <v>0</v>
      </c>
      <c r="BB103" s="51">
        <f t="shared" si="74"/>
        <v>0</v>
      </c>
      <c r="BC103" s="51">
        <f t="shared" si="75"/>
        <v>0</v>
      </c>
      <c r="BD103" s="51">
        <f t="shared" si="76"/>
        <v>0</v>
      </c>
      <c r="BE103" s="51">
        <f t="shared" si="77"/>
        <v>0</v>
      </c>
      <c r="BF103" s="51">
        <f t="shared" si="78"/>
        <v>0</v>
      </c>
      <c r="BG103" s="51">
        <f t="shared" si="79"/>
        <v>0</v>
      </c>
      <c r="BH103" s="51">
        <f t="shared" si="80"/>
        <v>0</v>
      </c>
      <c r="BI103" s="51">
        <f t="shared" si="81"/>
        <v>0</v>
      </c>
      <c r="BJ103" s="51">
        <f t="shared" si="82"/>
        <v>0</v>
      </c>
      <c r="BK103" s="51">
        <f t="shared" si="83"/>
        <v>0</v>
      </c>
      <c r="BL103" s="51">
        <f t="shared" si="84"/>
        <v>0</v>
      </c>
      <c r="BM103" s="51">
        <f t="shared" si="85"/>
        <v>0</v>
      </c>
      <c r="BN103" s="51">
        <f t="shared" si="86"/>
        <v>0</v>
      </c>
      <c r="BO103" s="51">
        <f t="shared" si="87"/>
        <v>0</v>
      </c>
      <c r="BP103" s="51">
        <f t="shared" si="88"/>
        <v>0</v>
      </c>
      <c r="BQ103" s="51">
        <f t="shared" si="89"/>
        <v>0</v>
      </c>
    </row>
    <row r="104" spans="1:69" ht="14.25" hidden="1" customHeight="1" thickBot="1" x14ac:dyDescent="0.3">
      <c r="A104" s="106"/>
      <c r="B104" s="91" t="s">
        <v>202</v>
      </c>
      <c r="C104" s="116"/>
      <c r="D104" s="112"/>
      <c r="E104" s="111"/>
      <c r="F104" s="112"/>
      <c r="G104" s="111"/>
      <c r="H104" s="112"/>
      <c r="I104" s="111"/>
      <c r="J104" s="112"/>
      <c r="K104" s="111"/>
      <c r="L104" s="112"/>
      <c r="M104" s="111"/>
      <c r="N104" s="112"/>
      <c r="O104" s="111"/>
      <c r="P104" s="191"/>
      <c r="X104" s="78"/>
      <c r="Z104" s="78"/>
      <c r="AA104" s="95" t="s">
        <v>202</v>
      </c>
      <c r="AB104" s="51">
        <f t="shared" si="48"/>
        <v>0</v>
      </c>
      <c r="AC104" s="51">
        <f t="shared" si="49"/>
        <v>0</v>
      </c>
      <c r="AD104" s="51">
        <f t="shared" si="50"/>
        <v>0</v>
      </c>
      <c r="AE104" s="51">
        <f t="shared" si="51"/>
        <v>0</v>
      </c>
      <c r="AF104" s="51">
        <f t="shared" si="52"/>
        <v>0</v>
      </c>
      <c r="AG104" s="51">
        <f t="shared" si="53"/>
        <v>0</v>
      </c>
      <c r="AH104" s="51">
        <f t="shared" si="54"/>
        <v>0</v>
      </c>
      <c r="AI104" s="51">
        <f t="shared" si="55"/>
        <v>0</v>
      </c>
      <c r="AJ104" s="51">
        <f t="shared" si="56"/>
        <v>0</v>
      </c>
      <c r="AK104" s="51">
        <f t="shared" si="57"/>
        <v>0</v>
      </c>
      <c r="AL104" s="51">
        <f t="shared" si="58"/>
        <v>0</v>
      </c>
      <c r="AM104" s="51">
        <f t="shared" si="59"/>
        <v>0</v>
      </c>
      <c r="AN104" s="51">
        <f t="shared" si="60"/>
        <v>0</v>
      </c>
      <c r="AO104" s="51">
        <f t="shared" si="61"/>
        <v>0</v>
      </c>
      <c r="AP104" s="51">
        <f t="shared" si="62"/>
        <v>0</v>
      </c>
      <c r="AQ104" s="51">
        <f t="shared" si="63"/>
        <v>0</v>
      </c>
      <c r="AR104" s="51">
        <f t="shared" si="64"/>
        <v>0</v>
      </c>
      <c r="AS104" s="51">
        <f t="shared" si="65"/>
        <v>0</v>
      </c>
      <c r="AT104" s="51">
        <f t="shared" si="66"/>
        <v>0</v>
      </c>
      <c r="AU104" s="51">
        <f t="shared" si="67"/>
        <v>0</v>
      </c>
      <c r="AV104" s="51">
        <f t="shared" si="68"/>
        <v>0</v>
      </c>
      <c r="AW104" s="51">
        <f t="shared" si="69"/>
        <v>0</v>
      </c>
      <c r="AX104" s="51">
        <f t="shared" si="70"/>
        <v>0</v>
      </c>
      <c r="AY104" s="51">
        <f t="shared" si="71"/>
        <v>0</v>
      </c>
      <c r="AZ104" s="51">
        <f t="shared" si="72"/>
        <v>0</v>
      </c>
      <c r="BA104" s="51">
        <f t="shared" si="73"/>
        <v>0</v>
      </c>
      <c r="BB104" s="51">
        <f t="shared" si="74"/>
        <v>0</v>
      </c>
      <c r="BC104" s="51">
        <f t="shared" si="75"/>
        <v>0</v>
      </c>
      <c r="BD104" s="51">
        <f t="shared" si="76"/>
        <v>0</v>
      </c>
      <c r="BE104" s="51">
        <f t="shared" si="77"/>
        <v>0</v>
      </c>
      <c r="BF104" s="51">
        <f t="shared" si="78"/>
        <v>0</v>
      </c>
      <c r="BG104" s="51">
        <f t="shared" si="79"/>
        <v>0</v>
      </c>
      <c r="BH104" s="51">
        <f t="shared" si="80"/>
        <v>0</v>
      </c>
      <c r="BI104" s="51">
        <f t="shared" si="81"/>
        <v>0</v>
      </c>
      <c r="BJ104" s="51">
        <f t="shared" si="82"/>
        <v>0</v>
      </c>
      <c r="BK104" s="51">
        <f t="shared" si="83"/>
        <v>0</v>
      </c>
      <c r="BL104" s="51">
        <f t="shared" si="84"/>
        <v>0</v>
      </c>
      <c r="BM104" s="51">
        <f t="shared" si="85"/>
        <v>0</v>
      </c>
      <c r="BN104" s="51">
        <f t="shared" si="86"/>
        <v>0</v>
      </c>
      <c r="BO104" s="51">
        <f t="shared" si="87"/>
        <v>0</v>
      </c>
      <c r="BP104" s="51">
        <f t="shared" si="88"/>
        <v>0</v>
      </c>
      <c r="BQ104" s="51">
        <f t="shared" si="89"/>
        <v>0</v>
      </c>
    </row>
    <row r="105" spans="1:69" ht="14.25" hidden="1" customHeight="1" thickBot="1" x14ac:dyDescent="0.3">
      <c r="A105" s="106"/>
      <c r="B105" s="91" t="s">
        <v>203</v>
      </c>
      <c r="C105" s="116"/>
      <c r="D105" s="112"/>
      <c r="E105" s="111"/>
      <c r="F105" s="112"/>
      <c r="G105" s="111"/>
      <c r="H105" s="112"/>
      <c r="I105" s="111"/>
      <c r="J105" s="112"/>
      <c r="K105" s="111"/>
      <c r="L105" s="112"/>
      <c r="M105" s="111"/>
      <c r="N105" s="112"/>
      <c r="O105" s="111"/>
      <c r="P105" s="191"/>
      <c r="X105" s="78"/>
      <c r="Z105" s="78"/>
      <c r="AA105" s="95" t="s">
        <v>203</v>
      </c>
      <c r="AB105" s="51">
        <f t="shared" si="48"/>
        <v>0</v>
      </c>
      <c r="AC105" s="51">
        <f t="shared" si="49"/>
        <v>0</v>
      </c>
      <c r="AD105" s="51">
        <f t="shared" si="50"/>
        <v>0</v>
      </c>
      <c r="AE105" s="51">
        <f t="shared" si="51"/>
        <v>0</v>
      </c>
      <c r="AF105" s="51">
        <f t="shared" si="52"/>
        <v>0</v>
      </c>
      <c r="AG105" s="51">
        <f t="shared" si="53"/>
        <v>0</v>
      </c>
      <c r="AH105" s="51">
        <f t="shared" si="54"/>
        <v>0</v>
      </c>
      <c r="AI105" s="51">
        <f t="shared" si="55"/>
        <v>0</v>
      </c>
      <c r="AJ105" s="51">
        <f t="shared" si="56"/>
        <v>0</v>
      </c>
      <c r="AK105" s="51">
        <f t="shared" si="57"/>
        <v>0</v>
      </c>
      <c r="AL105" s="51">
        <f t="shared" si="58"/>
        <v>0</v>
      </c>
      <c r="AM105" s="51">
        <f t="shared" si="59"/>
        <v>0</v>
      </c>
      <c r="AN105" s="51">
        <f t="shared" si="60"/>
        <v>0</v>
      </c>
      <c r="AO105" s="51">
        <f t="shared" si="61"/>
        <v>0</v>
      </c>
      <c r="AP105" s="51">
        <f t="shared" si="62"/>
        <v>0</v>
      </c>
      <c r="AQ105" s="51">
        <f t="shared" si="63"/>
        <v>0</v>
      </c>
      <c r="AR105" s="51">
        <f t="shared" si="64"/>
        <v>0</v>
      </c>
      <c r="AS105" s="51">
        <f t="shared" si="65"/>
        <v>0</v>
      </c>
      <c r="AT105" s="51">
        <f t="shared" si="66"/>
        <v>0</v>
      </c>
      <c r="AU105" s="51">
        <f t="shared" si="67"/>
        <v>0</v>
      </c>
      <c r="AV105" s="51">
        <f t="shared" si="68"/>
        <v>0</v>
      </c>
      <c r="AW105" s="51">
        <f t="shared" si="69"/>
        <v>0</v>
      </c>
      <c r="AX105" s="51">
        <f t="shared" si="70"/>
        <v>0</v>
      </c>
      <c r="AY105" s="51">
        <f t="shared" si="71"/>
        <v>0</v>
      </c>
      <c r="AZ105" s="51">
        <f t="shared" si="72"/>
        <v>0</v>
      </c>
      <c r="BA105" s="51">
        <f t="shared" si="73"/>
        <v>0</v>
      </c>
      <c r="BB105" s="51">
        <f t="shared" si="74"/>
        <v>0</v>
      </c>
      <c r="BC105" s="51">
        <f t="shared" si="75"/>
        <v>0</v>
      </c>
      <c r="BD105" s="51">
        <f t="shared" si="76"/>
        <v>0</v>
      </c>
      <c r="BE105" s="51">
        <f t="shared" si="77"/>
        <v>0</v>
      </c>
      <c r="BF105" s="51">
        <f t="shared" si="78"/>
        <v>0</v>
      </c>
      <c r="BG105" s="51">
        <f t="shared" si="79"/>
        <v>0</v>
      </c>
      <c r="BH105" s="51">
        <f t="shared" si="80"/>
        <v>0</v>
      </c>
      <c r="BI105" s="51">
        <f t="shared" si="81"/>
        <v>0</v>
      </c>
      <c r="BJ105" s="51">
        <f t="shared" si="82"/>
        <v>0</v>
      </c>
      <c r="BK105" s="51">
        <f t="shared" si="83"/>
        <v>0</v>
      </c>
      <c r="BL105" s="51">
        <f t="shared" si="84"/>
        <v>0</v>
      </c>
      <c r="BM105" s="51">
        <f t="shared" si="85"/>
        <v>0</v>
      </c>
      <c r="BN105" s="51">
        <f t="shared" si="86"/>
        <v>0</v>
      </c>
      <c r="BO105" s="51">
        <f t="shared" si="87"/>
        <v>0</v>
      </c>
      <c r="BP105" s="51">
        <f t="shared" si="88"/>
        <v>0</v>
      </c>
      <c r="BQ105" s="51">
        <f t="shared" si="89"/>
        <v>0</v>
      </c>
    </row>
    <row r="106" spans="1:69" ht="14.25" hidden="1" customHeight="1" thickBot="1" x14ac:dyDescent="0.3">
      <c r="A106" s="106"/>
      <c r="B106" s="91" t="s">
        <v>204</v>
      </c>
      <c r="C106" s="116"/>
      <c r="D106" s="112"/>
      <c r="E106" s="111"/>
      <c r="F106" s="112"/>
      <c r="G106" s="111"/>
      <c r="H106" s="112"/>
      <c r="I106" s="111"/>
      <c r="J106" s="112"/>
      <c r="K106" s="111"/>
      <c r="L106" s="112"/>
      <c r="M106" s="111"/>
      <c r="N106" s="112"/>
      <c r="O106" s="111"/>
      <c r="P106" s="191"/>
      <c r="X106" s="78"/>
      <c r="Z106" s="78"/>
      <c r="AA106" s="95" t="s">
        <v>204</v>
      </c>
      <c r="AB106" s="51">
        <f t="shared" si="48"/>
        <v>0</v>
      </c>
      <c r="AC106" s="51">
        <f t="shared" si="49"/>
        <v>0</v>
      </c>
      <c r="AD106" s="51">
        <f t="shared" si="50"/>
        <v>0</v>
      </c>
      <c r="AE106" s="51">
        <f t="shared" si="51"/>
        <v>0</v>
      </c>
      <c r="AF106" s="51">
        <f t="shared" si="52"/>
        <v>0</v>
      </c>
      <c r="AG106" s="51">
        <f t="shared" si="53"/>
        <v>0</v>
      </c>
      <c r="AH106" s="51">
        <f t="shared" si="54"/>
        <v>0</v>
      </c>
      <c r="AI106" s="51">
        <f t="shared" si="55"/>
        <v>0</v>
      </c>
      <c r="AJ106" s="51">
        <f t="shared" si="56"/>
        <v>0</v>
      </c>
      <c r="AK106" s="51">
        <f t="shared" si="57"/>
        <v>0</v>
      </c>
      <c r="AL106" s="51">
        <f t="shared" si="58"/>
        <v>0</v>
      </c>
      <c r="AM106" s="51">
        <f t="shared" si="59"/>
        <v>0</v>
      </c>
      <c r="AN106" s="51">
        <f t="shared" si="60"/>
        <v>0</v>
      </c>
      <c r="AO106" s="51">
        <f t="shared" si="61"/>
        <v>0</v>
      </c>
      <c r="AP106" s="51">
        <f t="shared" si="62"/>
        <v>0</v>
      </c>
      <c r="AQ106" s="51">
        <f t="shared" si="63"/>
        <v>0</v>
      </c>
      <c r="AR106" s="51">
        <f t="shared" si="64"/>
        <v>0</v>
      </c>
      <c r="AS106" s="51">
        <f t="shared" si="65"/>
        <v>0</v>
      </c>
      <c r="AT106" s="51">
        <f t="shared" si="66"/>
        <v>0</v>
      </c>
      <c r="AU106" s="51">
        <f t="shared" si="67"/>
        <v>0</v>
      </c>
      <c r="AV106" s="51">
        <f t="shared" si="68"/>
        <v>0</v>
      </c>
      <c r="AW106" s="51">
        <f t="shared" si="69"/>
        <v>0</v>
      </c>
      <c r="AX106" s="51">
        <f t="shared" si="70"/>
        <v>0</v>
      </c>
      <c r="AY106" s="51">
        <f t="shared" si="71"/>
        <v>0</v>
      </c>
      <c r="AZ106" s="51">
        <f t="shared" si="72"/>
        <v>0</v>
      </c>
      <c r="BA106" s="51">
        <f t="shared" si="73"/>
        <v>0</v>
      </c>
      <c r="BB106" s="51">
        <f t="shared" si="74"/>
        <v>0</v>
      </c>
      <c r="BC106" s="51">
        <f t="shared" si="75"/>
        <v>0</v>
      </c>
      <c r="BD106" s="51">
        <f t="shared" si="76"/>
        <v>0</v>
      </c>
      <c r="BE106" s="51">
        <f t="shared" si="77"/>
        <v>0</v>
      </c>
      <c r="BF106" s="51">
        <f t="shared" si="78"/>
        <v>0</v>
      </c>
      <c r="BG106" s="51">
        <f t="shared" si="79"/>
        <v>0</v>
      </c>
      <c r="BH106" s="51">
        <f t="shared" si="80"/>
        <v>0</v>
      </c>
      <c r="BI106" s="51">
        <f t="shared" si="81"/>
        <v>0</v>
      </c>
      <c r="BJ106" s="51">
        <f t="shared" si="82"/>
        <v>0</v>
      </c>
      <c r="BK106" s="51">
        <f t="shared" si="83"/>
        <v>0</v>
      </c>
      <c r="BL106" s="51">
        <f t="shared" si="84"/>
        <v>0</v>
      </c>
      <c r="BM106" s="51">
        <f t="shared" si="85"/>
        <v>0</v>
      </c>
      <c r="BN106" s="51">
        <f t="shared" si="86"/>
        <v>0</v>
      </c>
      <c r="BO106" s="51">
        <f t="shared" si="87"/>
        <v>0</v>
      </c>
      <c r="BP106" s="51">
        <f t="shared" si="88"/>
        <v>0</v>
      </c>
      <c r="BQ106" s="51">
        <f t="shared" si="89"/>
        <v>0</v>
      </c>
    </row>
    <row r="107" spans="1:69" ht="14.25" hidden="1" customHeight="1" thickBot="1" x14ac:dyDescent="0.3">
      <c r="A107" s="106"/>
      <c r="B107" s="91" t="s">
        <v>205</v>
      </c>
      <c r="C107" s="116"/>
      <c r="D107" s="112"/>
      <c r="E107" s="111"/>
      <c r="F107" s="112"/>
      <c r="G107" s="111"/>
      <c r="H107" s="112"/>
      <c r="I107" s="111"/>
      <c r="J107" s="112"/>
      <c r="K107" s="111"/>
      <c r="L107" s="112"/>
      <c r="M107" s="111"/>
      <c r="N107" s="112"/>
      <c r="O107" s="111"/>
      <c r="P107" s="191"/>
      <c r="X107" s="78"/>
      <c r="Z107" s="78"/>
      <c r="AA107" s="95" t="s">
        <v>205</v>
      </c>
      <c r="AB107" s="51">
        <f t="shared" si="48"/>
        <v>0</v>
      </c>
      <c r="AC107" s="51">
        <f t="shared" si="49"/>
        <v>0</v>
      </c>
      <c r="AD107" s="51">
        <f t="shared" si="50"/>
        <v>0</v>
      </c>
      <c r="AE107" s="51">
        <f t="shared" si="51"/>
        <v>0</v>
      </c>
      <c r="AF107" s="51">
        <f t="shared" si="52"/>
        <v>0</v>
      </c>
      <c r="AG107" s="51">
        <f t="shared" si="53"/>
        <v>0</v>
      </c>
      <c r="AH107" s="51">
        <f t="shared" si="54"/>
        <v>0</v>
      </c>
      <c r="AI107" s="51">
        <f t="shared" si="55"/>
        <v>0</v>
      </c>
      <c r="AJ107" s="51">
        <f t="shared" si="56"/>
        <v>0</v>
      </c>
      <c r="AK107" s="51">
        <f t="shared" si="57"/>
        <v>0</v>
      </c>
      <c r="AL107" s="51">
        <f t="shared" si="58"/>
        <v>0</v>
      </c>
      <c r="AM107" s="51">
        <f t="shared" si="59"/>
        <v>0</v>
      </c>
      <c r="AN107" s="51">
        <f t="shared" si="60"/>
        <v>0</v>
      </c>
      <c r="AO107" s="51">
        <f t="shared" si="61"/>
        <v>0</v>
      </c>
      <c r="AP107" s="51">
        <f t="shared" si="62"/>
        <v>0</v>
      </c>
      <c r="AQ107" s="51">
        <f t="shared" si="63"/>
        <v>0</v>
      </c>
      <c r="AR107" s="51">
        <f t="shared" si="64"/>
        <v>0</v>
      </c>
      <c r="AS107" s="51">
        <f t="shared" si="65"/>
        <v>0</v>
      </c>
      <c r="AT107" s="51">
        <f t="shared" si="66"/>
        <v>0</v>
      </c>
      <c r="AU107" s="51">
        <f t="shared" si="67"/>
        <v>0</v>
      </c>
      <c r="AV107" s="51">
        <f t="shared" si="68"/>
        <v>0</v>
      </c>
      <c r="AW107" s="51">
        <f t="shared" si="69"/>
        <v>0</v>
      </c>
      <c r="AX107" s="51">
        <f t="shared" si="70"/>
        <v>0</v>
      </c>
      <c r="AY107" s="51">
        <f t="shared" si="71"/>
        <v>0</v>
      </c>
      <c r="AZ107" s="51">
        <f t="shared" si="72"/>
        <v>0</v>
      </c>
      <c r="BA107" s="51">
        <f t="shared" si="73"/>
        <v>0</v>
      </c>
      <c r="BB107" s="51">
        <f t="shared" si="74"/>
        <v>0</v>
      </c>
      <c r="BC107" s="51">
        <f t="shared" si="75"/>
        <v>0</v>
      </c>
      <c r="BD107" s="51">
        <f t="shared" si="76"/>
        <v>0</v>
      </c>
      <c r="BE107" s="51">
        <f t="shared" si="77"/>
        <v>0</v>
      </c>
      <c r="BF107" s="51">
        <f t="shared" si="78"/>
        <v>0</v>
      </c>
      <c r="BG107" s="51">
        <f t="shared" si="79"/>
        <v>0</v>
      </c>
      <c r="BH107" s="51">
        <f t="shared" si="80"/>
        <v>0</v>
      </c>
      <c r="BI107" s="51">
        <f t="shared" si="81"/>
        <v>0</v>
      </c>
      <c r="BJ107" s="51">
        <f t="shared" si="82"/>
        <v>0</v>
      </c>
      <c r="BK107" s="51">
        <f t="shared" si="83"/>
        <v>0</v>
      </c>
      <c r="BL107" s="51">
        <f t="shared" si="84"/>
        <v>0</v>
      </c>
      <c r="BM107" s="51">
        <f t="shared" si="85"/>
        <v>0</v>
      </c>
      <c r="BN107" s="51">
        <f t="shared" si="86"/>
        <v>0</v>
      </c>
      <c r="BO107" s="51">
        <f t="shared" si="87"/>
        <v>0</v>
      </c>
      <c r="BP107" s="51">
        <f t="shared" si="88"/>
        <v>0</v>
      </c>
      <c r="BQ107" s="51">
        <f t="shared" si="89"/>
        <v>0</v>
      </c>
    </row>
    <row r="108" spans="1:69" ht="14.25" hidden="1" customHeight="1" thickBot="1" x14ac:dyDescent="0.3">
      <c r="A108" s="106"/>
      <c r="B108" s="91" t="s">
        <v>206</v>
      </c>
      <c r="C108" s="117"/>
      <c r="D108" s="118"/>
      <c r="E108" s="119"/>
      <c r="F108" s="118"/>
      <c r="G108" s="119"/>
      <c r="H108" s="118"/>
      <c r="I108" s="119"/>
      <c r="J108" s="118"/>
      <c r="K108" s="119"/>
      <c r="L108" s="118"/>
      <c r="M108" s="119"/>
      <c r="N108" s="118"/>
      <c r="O108" s="119"/>
      <c r="P108" s="192"/>
      <c r="X108" s="78"/>
      <c r="Z108" s="78"/>
      <c r="AA108" s="95" t="s">
        <v>206</v>
      </c>
      <c r="AB108" s="51">
        <f t="shared" si="48"/>
        <v>0</v>
      </c>
      <c r="AC108" s="51">
        <f t="shared" si="49"/>
        <v>0</v>
      </c>
      <c r="AD108" s="51">
        <f t="shared" si="50"/>
        <v>0</v>
      </c>
      <c r="AE108" s="51">
        <f t="shared" si="51"/>
        <v>0</v>
      </c>
      <c r="AF108" s="51">
        <f t="shared" si="52"/>
        <v>0</v>
      </c>
      <c r="AG108" s="51">
        <f t="shared" si="53"/>
        <v>0</v>
      </c>
      <c r="AH108" s="51">
        <f t="shared" si="54"/>
        <v>0</v>
      </c>
      <c r="AI108" s="51">
        <f t="shared" si="55"/>
        <v>0</v>
      </c>
      <c r="AJ108" s="51">
        <f t="shared" si="56"/>
        <v>0</v>
      </c>
      <c r="AK108" s="51">
        <f t="shared" si="57"/>
        <v>0</v>
      </c>
      <c r="AL108" s="51">
        <f t="shared" si="58"/>
        <v>0</v>
      </c>
      <c r="AM108" s="51">
        <f t="shared" si="59"/>
        <v>0</v>
      </c>
      <c r="AN108" s="51">
        <f t="shared" si="60"/>
        <v>0</v>
      </c>
      <c r="AO108" s="51">
        <f t="shared" si="61"/>
        <v>0</v>
      </c>
      <c r="AP108" s="51">
        <f t="shared" si="62"/>
        <v>0</v>
      </c>
      <c r="AQ108" s="51">
        <f t="shared" si="63"/>
        <v>0</v>
      </c>
      <c r="AR108" s="51">
        <f t="shared" si="64"/>
        <v>0</v>
      </c>
      <c r="AS108" s="51">
        <f t="shared" si="65"/>
        <v>0</v>
      </c>
      <c r="AT108" s="51">
        <f t="shared" si="66"/>
        <v>0</v>
      </c>
      <c r="AU108" s="51">
        <f t="shared" si="67"/>
        <v>0</v>
      </c>
      <c r="AV108" s="51">
        <f t="shared" si="68"/>
        <v>0</v>
      </c>
      <c r="AW108" s="51">
        <f t="shared" si="69"/>
        <v>0</v>
      </c>
      <c r="AX108" s="51">
        <f t="shared" si="70"/>
        <v>0</v>
      </c>
      <c r="AY108" s="51">
        <f t="shared" si="71"/>
        <v>0</v>
      </c>
      <c r="AZ108" s="51">
        <f>SUM(IF(C108="R9",AB62,0)+IF(D108="R9",AE62,0)+IF(E108="R9",AH62,0)+IF(F108="R9",AK62,0)+IF(G108="R9",AN62,0)+IF(H108="R9",AQ62,0)+IF(I108="R9",AT62,0)+IF(J108="R9",AW62,0)+IF(K108="R9",AZ62,0)+IF(L108="R9",BC62,0)+IF(M108="R9",BF62,0)+IF(N108="R9",BI62,0)+IF(O108="R9",BL62,0)+IF(P108="R9",BO62,0))</f>
        <v>0</v>
      </c>
      <c r="BA108" s="51">
        <f>SUM(IF(C108="R9",AC62,0)+IF(D108="R9",AF62,0)+IF(E108="R9",AI62,0)+IF(F108="R9",AL62,0)+IF(G108="R9",AO62,0)+IF(H108="R9",AR62,0)+IF(I108="R9",AU62,0)+IF(J108="R9",AX62,0)+IF(K108="R9",BA62,0)+IF(L108="R9",BD62,0)+IF(M108="R9",BG62,0)+IF(N108="R9",BJ62,0)+IF(O108="R9",BM62,0)+IF(P108="R9",BP62,0))</f>
        <v>0</v>
      </c>
      <c r="BB108" s="51">
        <f>SUM(IF(C108="R9",AD62,0)+IF(D108="R9",AG62,0)+IF(E108="R9",AJ62,0)+IF(F108="R9",AM62,0)+IF(G108="R9",AP62,0)+IF(H108="R9",AS62,0)+IF(I108="R9",AV62,0)+IF(J108="R9",AY62,0)+IF(K108="R9",BB62,0)+IF(L108="R9",BE62,0)+IF(M108="R9",BH62,0)+IF(N108="R9",BK62,0)+IF(O108="R9",BN62,0)+IF(P108="R9",BQ62,0))</f>
        <v>0</v>
      </c>
      <c r="BC108" s="51">
        <f t="shared" si="75"/>
        <v>0</v>
      </c>
      <c r="BD108" s="51">
        <f t="shared" si="76"/>
        <v>0</v>
      </c>
      <c r="BE108" s="51">
        <f t="shared" si="77"/>
        <v>0</v>
      </c>
      <c r="BF108" s="51">
        <f t="shared" si="78"/>
        <v>0</v>
      </c>
      <c r="BG108" s="51">
        <f t="shared" si="79"/>
        <v>0</v>
      </c>
      <c r="BH108" s="51">
        <f t="shared" si="80"/>
        <v>0</v>
      </c>
      <c r="BI108" s="51">
        <f t="shared" si="81"/>
        <v>0</v>
      </c>
      <c r="BJ108" s="51">
        <f t="shared" si="82"/>
        <v>0</v>
      </c>
      <c r="BK108" s="51">
        <f t="shared" si="83"/>
        <v>0</v>
      </c>
      <c r="BL108" s="51">
        <f t="shared" si="84"/>
        <v>0</v>
      </c>
      <c r="BM108" s="51">
        <f t="shared" si="85"/>
        <v>0</v>
      </c>
      <c r="BN108" s="51">
        <f t="shared" si="86"/>
        <v>0</v>
      </c>
      <c r="BO108" s="51">
        <f t="shared" si="87"/>
        <v>0</v>
      </c>
      <c r="BP108" s="51">
        <f t="shared" si="88"/>
        <v>0</v>
      </c>
      <c r="BQ108" s="51">
        <f t="shared" si="89"/>
        <v>0</v>
      </c>
    </row>
    <row r="109" spans="1:69" ht="14.25" customHeight="1" x14ac:dyDescent="0.25">
      <c r="A109" s="106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AW109" s="78"/>
      <c r="AX109" s="78"/>
      <c r="AY109" s="78"/>
      <c r="AZ109" s="78"/>
      <c r="BA109" s="78"/>
      <c r="BB109" s="78"/>
      <c r="BC109" s="78"/>
      <c r="BD109" s="78"/>
      <c r="BE109" s="78"/>
      <c r="BF109" s="78"/>
      <c r="BG109" s="78"/>
      <c r="BH109" s="78"/>
    </row>
    <row r="110" spans="1:69" ht="14.25" customHeight="1" thickBot="1" x14ac:dyDescent="0.3">
      <c r="A110" s="106"/>
      <c r="G110" s="78"/>
      <c r="H110" s="78"/>
      <c r="I110" s="78"/>
      <c r="J110" s="78"/>
      <c r="K110" s="78"/>
      <c r="AA110" s="95" t="s">
        <v>137</v>
      </c>
      <c r="AB110" s="96">
        <f>SUM(AB67:AB109)</f>
        <v>34.300000000000004</v>
      </c>
      <c r="AC110" s="96">
        <f t="shared" ref="AC110:BQ110" si="90">SUM(AC67:AC109)</f>
        <v>30.5</v>
      </c>
      <c r="AD110" s="96">
        <f t="shared" si="90"/>
        <v>53.400000000000006</v>
      </c>
      <c r="AE110" s="96">
        <f t="shared" si="90"/>
        <v>23.5</v>
      </c>
      <c r="AF110" s="96">
        <f t="shared" si="90"/>
        <v>24.5</v>
      </c>
      <c r="AG110" s="96">
        <f t="shared" si="90"/>
        <v>39</v>
      </c>
      <c r="AH110" s="96">
        <f t="shared" si="90"/>
        <v>23.5</v>
      </c>
      <c r="AI110" s="96">
        <f t="shared" si="90"/>
        <v>24.5</v>
      </c>
      <c r="AJ110" s="96">
        <f t="shared" si="90"/>
        <v>39</v>
      </c>
      <c r="AK110" s="96">
        <f t="shared" si="90"/>
        <v>23.5</v>
      </c>
      <c r="AL110" s="96">
        <f t="shared" si="90"/>
        <v>24.5</v>
      </c>
      <c r="AM110" s="96">
        <f t="shared" si="90"/>
        <v>39</v>
      </c>
      <c r="AN110" s="96">
        <f t="shared" si="90"/>
        <v>18.8</v>
      </c>
      <c r="AO110" s="96">
        <f t="shared" si="90"/>
        <v>19.600000000000001</v>
      </c>
      <c r="AP110" s="96">
        <f t="shared" si="90"/>
        <v>31.200000000000003</v>
      </c>
      <c r="AQ110" s="96">
        <f t="shared" si="90"/>
        <v>21.5</v>
      </c>
      <c r="AR110" s="96">
        <f t="shared" si="90"/>
        <v>20.100000000000001</v>
      </c>
      <c r="AS110" s="96">
        <f t="shared" si="90"/>
        <v>34.1</v>
      </c>
      <c r="AT110" s="96">
        <f t="shared" si="90"/>
        <v>18.8</v>
      </c>
      <c r="AU110" s="96">
        <f t="shared" si="90"/>
        <v>19.600000000000001</v>
      </c>
      <c r="AV110" s="96">
        <f t="shared" si="90"/>
        <v>31.200000000000003</v>
      </c>
      <c r="AW110" s="96">
        <f t="shared" si="90"/>
        <v>18.8</v>
      </c>
      <c r="AX110" s="96">
        <f t="shared" si="90"/>
        <v>19.600000000000001</v>
      </c>
      <c r="AY110" s="96">
        <f t="shared" si="90"/>
        <v>31.200000000000003</v>
      </c>
      <c r="AZ110" s="96">
        <f t="shared" si="90"/>
        <v>23.5</v>
      </c>
      <c r="BA110" s="96">
        <f t="shared" si="90"/>
        <v>24.5</v>
      </c>
      <c r="BB110" s="96">
        <f t="shared" si="90"/>
        <v>39</v>
      </c>
      <c r="BC110" s="96">
        <f t="shared" si="90"/>
        <v>37</v>
      </c>
      <c r="BD110" s="96">
        <f t="shared" si="90"/>
        <v>32</v>
      </c>
      <c r="BE110" s="96">
        <f t="shared" si="90"/>
        <v>57</v>
      </c>
      <c r="BF110" s="96">
        <f t="shared" si="90"/>
        <v>0</v>
      </c>
      <c r="BG110" s="96">
        <f t="shared" si="90"/>
        <v>0</v>
      </c>
      <c r="BH110" s="96">
        <f t="shared" si="90"/>
        <v>0</v>
      </c>
      <c r="BI110" s="96">
        <f t="shared" si="90"/>
        <v>0</v>
      </c>
      <c r="BJ110" s="96">
        <f t="shared" si="90"/>
        <v>0</v>
      </c>
      <c r="BK110" s="96">
        <f t="shared" si="90"/>
        <v>0</v>
      </c>
      <c r="BL110" s="96">
        <f t="shared" si="90"/>
        <v>0</v>
      </c>
      <c r="BM110" s="96">
        <f t="shared" si="90"/>
        <v>0</v>
      </c>
      <c r="BN110" s="96">
        <f t="shared" si="90"/>
        <v>0</v>
      </c>
      <c r="BO110" s="96">
        <f t="shared" si="90"/>
        <v>0</v>
      </c>
      <c r="BP110" s="96">
        <f t="shared" si="90"/>
        <v>0</v>
      </c>
      <c r="BQ110" s="96">
        <f t="shared" si="90"/>
        <v>0</v>
      </c>
    </row>
    <row r="111" spans="1:69" ht="14.25" customHeight="1" thickBot="1" x14ac:dyDescent="0.35">
      <c r="A111" s="106"/>
      <c r="C111" s="273" t="s">
        <v>225</v>
      </c>
      <c r="D111" s="273"/>
      <c r="E111" s="273"/>
      <c r="F111" s="138"/>
      <c r="G111" s="138"/>
      <c r="H111" s="138"/>
      <c r="I111" s="138"/>
      <c r="J111" s="138"/>
      <c r="K111" s="138"/>
      <c r="L111" s="138"/>
      <c r="M111" s="138"/>
      <c r="N111" s="138"/>
      <c r="O111" s="138"/>
      <c r="P111" s="138"/>
      <c r="Q111" s="138"/>
      <c r="R111" s="138"/>
      <c r="S111" s="138"/>
      <c r="T111" s="138"/>
      <c r="U111" s="138"/>
      <c r="V111" s="138"/>
      <c r="W111" s="138"/>
      <c r="AA111" s="95" t="s">
        <v>137</v>
      </c>
      <c r="AB111" s="78"/>
      <c r="AC111" s="78"/>
      <c r="AD111" s="78"/>
      <c r="AE111" s="78"/>
      <c r="AF111" s="78"/>
      <c r="AG111" s="78"/>
      <c r="AH111" s="78"/>
      <c r="AI111" s="78"/>
      <c r="AJ111" s="78"/>
      <c r="AK111" s="78"/>
      <c r="AL111" s="78"/>
    </row>
    <row r="112" spans="1:69" ht="14.25" customHeight="1" x14ac:dyDescent="0.25">
      <c r="A112" s="106"/>
      <c r="C112" s="147" t="s">
        <v>226</v>
      </c>
      <c r="D112" s="148"/>
      <c r="E112" s="149"/>
      <c r="G112" s="78"/>
      <c r="H112" s="78"/>
      <c r="I112" s="78"/>
      <c r="J112" s="78"/>
      <c r="K112" s="78"/>
      <c r="AA112" s="107" t="s">
        <v>138</v>
      </c>
      <c r="AB112" s="96" cm="1">
        <f t="array" ref="AB112">SUMPRODUCT((MOD(COLUMN(AB110:AV110),3)=1)*(AB110:AV110))</f>
        <v>163.90000000000003</v>
      </c>
      <c r="AC112" s="78"/>
      <c r="AD112" s="78"/>
      <c r="AE112" s="78"/>
      <c r="AF112" s="78"/>
      <c r="AG112" s="78"/>
      <c r="AH112" s="78"/>
      <c r="AI112" s="78"/>
      <c r="AJ112" s="78"/>
      <c r="AK112" s="78"/>
      <c r="AL112" s="78"/>
    </row>
    <row r="113" spans="1:46" ht="14.25" customHeight="1" x14ac:dyDescent="0.25">
      <c r="A113" s="106"/>
      <c r="C113" s="150" t="s">
        <v>138</v>
      </c>
      <c r="D113" s="153">
        <f>AB112</f>
        <v>163.90000000000003</v>
      </c>
      <c r="E113" s="82"/>
      <c r="G113" s="78"/>
      <c r="H113" s="78"/>
      <c r="I113" s="78"/>
      <c r="J113" s="78"/>
      <c r="K113" s="78"/>
      <c r="AA113" s="107" t="s">
        <v>139</v>
      </c>
      <c r="AB113" s="96" cm="1">
        <f t="array" ref="AB113">SUMPRODUCT((MOD(COLUMN(AB110:AV110),3)=2)*(AB110:AV110))</f>
        <v>163.29999999999998</v>
      </c>
      <c r="AC113" s="78"/>
      <c r="AD113" s="78"/>
      <c r="AE113" s="78"/>
      <c r="AF113" s="78"/>
      <c r="AG113" s="78"/>
      <c r="AH113" s="78"/>
      <c r="AI113" s="78"/>
      <c r="AJ113" s="78"/>
      <c r="AK113" s="78"/>
      <c r="AL113" s="78"/>
    </row>
    <row r="114" spans="1:46" ht="14.25" customHeight="1" x14ac:dyDescent="0.25">
      <c r="A114" s="106"/>
      <c r="C114" s="150" t="s">
        <v>139</v>
      </c>
      <c r="D114" s="153">
        <f>AB113</f>
        <v>163.29999999999998</v>
      </c>
      <c r="E114" s="82"/>
      <c r="G114" s="78"/>
      <c r="H114" s="78"/>
      <c r="I114" s="78"/>
      <c r="J114" s="109"/>
      <c r="K114" s="109"/>
      <c r="L114" s="109"/>
      <c r="M114" s="109"/>
      <c r="N114" s="109"/>
      <c r="O114" s="109"/>
      <c r="P114" s="109"/>
      <c r="Q114" s="109"/>
      <c r="AA114" s="107" t="s">
        <v>140</v>
      </c>
      <c r="AB114" s="96" cm="1">
        <f t="array" ref="AB114">SUMPRODUCT((MOD(COLUMN(AB110:AV110),3)=0)*(AB110:AV110))</f>
        <v>266.90000000000003</v>
      </c>
      <c r="AC114" s="78"/>
      <c r="AD114" s="78"/>
      <c r="AE114" s="78"/>
      <c r="AF114" s="78"/>
      <c r="AG114" s="78"/>
      <c r="AH114" s="78"/>
      <c r="AI114" s="78"/>
      <c r="AJ114" s="78"/>
      <c r="AK114" s="78"/>
      <c r="AL114" s="78"/>
    </row>
    <row r="115" spans="1:46" ht="14.25" customHeight="1" thickBot="1" x14ac:dyDescent="0.3">
      <c r="A115" s="106"/>
      <c r="C115" s="151" t="s">
        <v>140</v>
      </c>
      <c r="D115" s="154">
        <f>AB114</f>
        <v>266.90000000000003</v>
      </c>
      <c r="E115" s="152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</row>
    <row r="116" spans="1:46" ht="15.75" customHeight="1" x14ac:dyDescent="0.25">
      <c r="A116" s="106"/>
    </row>
    <row r="117" spans="1:46" ht="14.25" customHeight="1" x14ac:dyDescent="0.25">
      <c r="A117" s="106"/>
    </row>
    <row r="118" spans="1:46" ht="15" customHeight="1" x14ac:dyDescent="0.25">
      <c r="A118" s="106"/>
    </row>
    <row r="119" spans="1:46" ht="15" customHeight="1" x14ac:dyDescent="0.25">
      <c r="A119" s="106"/>
      <c r="AJ119" s="78"/>
      <c r="AK119" s="78"/>
      <c r="AL119" s="78"/>
      <c r="AM119" s="78"/>
      <c r="AN119" s="78"/>
      <c r="AO119" s="78"/>
      <c r="AP119" s="78"/>
      <c r="AQ119" s="78"/>
      <c r="AR119" s="78"/>
      <c r="AS119" s="78"/>
      <c r="AT119" s="78"/>
    </row>
    <row r="120" spans="1:46" ht="15" customHeight="1" x14ac:dyDescent="0.25">
      <c r="A120" s="106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AJ120" s="78"/>
      <c r="AK120" s="78"/>
      <c r="AL120" s="78"/>
      <c r="AM120" s="78"/>
      <c r="AN120" s="78"/>
      <c r="AO120" s="78"/>
      <c r="AP120" s="78"/>
      <c r="AQ120" s="78"/>
      <c r="AR120" s="78"/>
      <c r="AS120" s="78"/>
      <c r="AT120" s="78"/>
    </row>
    <row r="121" spans="1:46" ht="15" customHeight="1" x14ac:dyDescent="0.25">
      <c r="A121" s="106"/>
      <c r="AJ121" s="78"/>
      <c r="AK121" s="78"/>
      <c r="AL121" s="78"/>
      <c r="AM121" s="78"/>
      <c r="AN121" s="78"/>
      <c r="AO121" s="78"/>
      <c r="AP121" s="78"/>
      <c r="AQ121" s="78"/>
      <c r="AR121" s="78"/>
      <c r="AS121" s="78"/>
      <c r="AT121" s="78"/>
    </row>
    <row r="122" spans="1:46" ht="15" customHeight="1" x14ac:dyDescent="0.25">
      <c r="A122" s="106"/>
      <c r="AJ122" s="78"/>
      <c r="AK122" s="78"/>
      <c r="AL122" s="78"/>
      <c r="AM122" s="78"/>
      <c r="AN122" s="78"/>
      <c r="AO122" s="78"/>
      <c r="AP122" s="78"/>
      <c r="AQ122" s="78"/>
      <c r="AR122" s="78"/>
      <c r="AS122" s="78"/>
      <c r="AT122" s="78"/>
    </row>
    <row r="123" spans="1:46" ht="15" customHeight="1" x14ac:dyDescent="0.25">
      <c r="A123" s="105"/>
      <c r="J123" s="109"/>
      <c r="K123" s="109"/>
      <c r="AJ123" s="78"/>
      <c r="AK123" s="78"/>
      <c r="AL123" s="78"/>
      <c r="AM123" s="78"/>
      <c r="AN123" s="78"/>
      <c r="AO123" s="78"/>
      <c r="AP123" s="78"/>
      <c r="AQ123" s="78"/>
      <c r="AR123" s="78"/>
      <c r="AS123" s="78"/>
      <c r="AT123" s="78"/>
    </row>
    <row r="124" spans="1:46" ht="15" customHeight="1" x14ac:dyDescent="0.25">
      <c r="A124" s="106"/>
      <c r="AJ124" s="78"/>
      <c r="AK124" s="78"/>
      <c r="AL124" s="78"/>
      <c r="AM124" s="78"/>
      <c r="AN124" s="78"/>
      <c r="AO124" s="78"/>
      <c r="AP124" s="78"/>
      <c r="AQ124" s="78"/>
      <c r="AR124" s="78"/>
      <c r="AS124" s="78"/>
      <c r="AT124" s="78"/>
    </row>
    <row r="125" spans="1:46" ht="15" customHeight="1" x14ac:dyDescent="0.25">
      <c r="A125" s="106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AG125" s="109"/>
      <c r="AH125" s="78"/>
      <c r="AI125" s="78"/>
      <c r="AJ125" s="78"/>
      <c r="AK125" s="78"/>
      <c r="AL125" s="78"/>
      <c r="AM125" s="78"/>
      <c r="AN125" s="78"/>
      <c r="AO125" s="78"/>
      <c r="AP125" s="78"/>
      <c r="AQ125" s="78"/>
      <c r="AR125" s="78"/>
      <c r="AS125" s="78"/>
      <c r="AT125" s="78"/>
    </row>
    <row r="126" spans="1:46" ht="15" customHeight="1" x14ac:dyDescent="0.25">
      <c r="A126" s="106"/>
      <c r="AG126" s="109"/>
      <c r="AH126" s="78"/>
      <c r="AI126" s="78"/>
      <c r="AJ126" s="78"/>
      <c r="AK126" s="78"/>
      <c r="AL126" s="78"/>
      <c r="AM126" s="78"/>
      <c r="AN126" s="78"/>
      <c r="AO126" s="78"/>
      <c r="AP126" s="78"/>
      <c r="AQ126" s="78"/>
      <c r="AR126" s="78"/>
      <c r="AS126" s="78"/>
      <c r="AT126" s="78"/>
    </row>
    <row r="127" spans="1:46" ht="15" customHeight="1" x14ac:dyDescent="0.25">
      <c r="A127" s="106"/>
      <c r="X127" s="48"/>
      <c r="AG127" s="109"/>
      <c r="AH127" s="78"/>
      <c r="AI127" s="78"/>
      <c r="AJ127" s="78"/>
      <c r="AK127" s="78"/>
      <c r="AL127" s="78"/>
      <c r="AM127" s="78"/>
      <c r="AN127" s="78"/>
      <c r="AO127" s="78"/>
      <c r="AP127" s="78"/>
      <c r="AQ127" s="78"/>
      <c r="AR127" s="78"/>
      <c r="AS127" s="78"/>
      <c r="AT127" s="78"/>
    </row>
    <row r="128" spans="1:46" ht="15" customHeight="1" x14ac:dyDescent="0.25">
      <c r="A128" s="106"/>
      <c r="X128" s="48"/>
      <c r="Y128" s="78"/>
      <c r="Z128" s="78"/>
      <c r="AE128" s="78"/>
      <c r="AF128" s="78"/>
      <c r="AG128" s="78"/>
      <c r="AH128" s="78"/>
      <c r="AI128" s="78"/>
      <c r="AJ128" s="78"/>
      <c r="AK128" s="78"/>
      <c r="AL128" s="78"/>
      <c r="AM128" s="78"/>
      <c r="AN128" s="78"/>
      <c r="AO128" s="78"/>
      <c r="AP128" s="78"/>
      <c r="AQ128" s="78"/>
      <c r="AR128" s="78"/>
      <c r="AS128" s="78"/>
      <c r="AT128" s="78"/>
    </row>
    <row r="129" spans="1:46" ht="15" customHeight="1" x14ac:dyDescent="0.25">
      <c r="A129" s="106"/>
      <c r="X129" s="48"/>
      <c r="Y129" s="78"/>
      <c r="Z129" s="78"/>
      <c r="AE129" s="78"/>
      <c r="AF129" s="78"/>
      <c r="AG129" s="78"/>
      <c r="AH129" s="78"/>
      <c r="AI129" s="78"/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</row>
    <row r="130" spans="1:46" ht="15" customHeight="1" x14ac:dyDescent="0.25">
      <c r="A130" s="106"/>
      <c r="C130" s="80"/>
      <c r="D130" s="80"/>
      <c r="E130" s="80"/>
      <c r="F130" s="78"/>
      <c r="G130" s="78"/>
      <c r="H130" s="78"/>
      <c r="I130" s="78"/>
      <c r="J130" s="109"/>
      <c r="K130" s="109"/>
      <c r="L130" s="109"/>
      <c r="M130" s="109"/>
      <c r="N130" s="109"/>
      <c r="O130" s="109"/>
      <c r="T130" s="78"/>
      <c r="U130" s="78"/>
      <c r="V130" s="78"/>
      <c r="W130" s="78"/>
      <c r="X130" s="110"/>
      <c r="Y130" s="78"/>
      <c r="Z130" s="78"/>
      <c r="AE130" s="78"/>
      <c r="AF130" s="78"/>
      <c r="AG130" s="78"/>
      <c r="AH130" s="78"/>
      <c r="AI130" s="78"/>
      <c r="AJ130" s="78"/>
      <c r="AK130" s="78"/>
      <c r="AL130" s="78"/>
      <c r="AM130" s="78"/>
      <c r="AN130" s="78"/>
      <c r="AO130" s="78"/>
      <c r="AP130" s="78"/>
      <c r="AQ130" s="78"/>
      <c r="AR130" s="78"/>
      <c r="AS130" s="78"/>
      <c r="AT130" s="78"/>
    </row>
    <row r="131" spans="1:46" ht="15" customHeight="1" x14ac:dyDescent="0.25">
      <c r="A131" s="106"/>
      <c r="C131" s="80"/>
      <c r="D131" s="80"/>
      <c r="E131" s="80"/>
      <c r="F131" s="78"/>
      <c r="G131" s="78"/>
      <c r="H131" s="78"/>
      <c r="I131" s="78"/>
      <c r="J131" s="109"/>
      <c r="K131" s="109"/>
      <c r="L131" s="109"/>
      <c r="M131" s="109"/>
      <c r="N131" s="109"/>
      <c r="O131" s="109"/>
      <c r="T131" s="78"/>
      <c r="U131" s="78"/>
      <c r="V131" s="78"/>
      <c r="W131" s="78"/>
      <c r="X131" s="110"/>
      <c r="Y131" s="78"/>
      <c r="Z131" s="78"/>
      <c r="AE131" s="78"/>
      <c r="AF131" s="78"/>
      <c r="AG131" s="78"/>
      <c r="AH131" s="78"/>
      <c r="AI131" s="78"/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</row>
    <row r="132" spans="1:46" ht="15" customHeight="1" x14ac:dyDescent="0.25">
      <c r="A132" s="106"/>
      <c r="C132" s="80"/>
      <c r="D132" s="80"/>
      <c r="E132" s="80"/>
      <c r="F132" s="78"/>
      <c r="G132" s="78"/>
      <c r="H132" s="78"/>
      <c r="I132" s="78"/>
      <c r="J132" s="109"/>
      <c r="K132" s="109"/>
      <c r="L132" s="109"/>
      <c r="M132" s="109"/>
      <c r="N132" s="109"/>
      <c r="O132" s="109"/>
      <c r="T132" s="78"/>
      <c r="U132" s="78"/>
      <c r="V132" s="78"/>
      <c r="W132" s="78"/>
      <c r="X132" s="110"/>
      <c r="Y132" s="78"/>
      <c r="Z132" s="78"/>
      <c r="AE132" s="78"/>
      <c r="AF132" s="78"/>
      <c r="AG132" s="78"/>
      <c r="AH132" s="78"/>
      <c r="AI132" s="78"/>
      <c r="AJ132" s="78"/>
      <c r="AK132" s="78"/>
      <c r="AL132" s="78"/>
      <c r="AM132" s="78"/>
      <c r="AN132" s="78"/>
      <c r="AO132" s="78"/>
      <c r="AP132" s="78"/>
      <c r="AQ132" s="78"/>
      <c r="AR132" s="78"/>
      <c r="AS132" s="78"/>
      <c r="AT132" s="78"/>
    </row>
    <row r="133" spans="1:46" ht="15" customHeight="1" x14ac:dyDescent="0.25">
      <c r="A133" s="105"/>
      <c r="C133" s="80"/>
      <c r="D133" s="80"/>
      <c r="E133" s="80"/>
      <c r="F133" s="78"/>
      <c r="G133" s="78"/>
      <c r="H133" s="78"/>
      <c r="I133" s="78"/>
      <c r="J133" s="78"/>
      <c r="K133" s="78"/>
      <c r="L133" s="78"/>
      <c r="M133" s="78"/>
      <c r="N133" s="78"/>
      <c r="O133" s="78"/>
      <c r="T133" s="78"/>
      <c r="U133" s="78"/>
      <c r="V133" s="78"/>
      <c r="W133" s="78"/>
      <c r="X133" s="110"/>
      <c r="Y133" s="78"/>
      <c r="Z133" s="78"/>
      <c r="AE133" s="78"/>
      <c r="AF133" s="78"/>
      <c r="AG133" s="78"/>
      <c r="AH133" s="78"/>
      <c r="AI133" s="78"/>
      <c r="AJ133" s="78"/>
      <c r="AK133" s="78"/>
      <c r="AL133" s="78"/>
      <c r="AM133" s="78"/>
      <c r="AN133" s="78"/>
      <c r="AO133" s="78"/>
      <c r="AP133" s="78"/>
      <c r="AQ133" s="78"/>
      <c r="AR133" s="78"/>
      <c r="AS133" s="78"/>
      <c r="AT133" s="78"/>
    </row>
    <row r="134" spans="1:46" ht="15" customHeight="1" x14ac:dyDescent="0.25">
      <c r="A134" s="106"/>
      <c r="C134" s="80"/>
      <c r="D134" s="80"/>
      <c r="E134" s="80"/>
      <c r="F134" s="78"/>
      <c r="G134" s="78"/>
      <c r="H134" s="78"/>
      <c r="I134" s="78"/>
      <c r="J134" s="78"/>
      <c r="K134" s="78"/>
      <c r="L134" s="78"/>
      <c r="M134" s="78"/>
      <c r="N134" s="78"/>
      <c r="O134" s="78"/>
      <c r="T134" s="78"/>
      <c r="U134" s="78"/>
      <c r="V134" s="78"/>
      <c r="W134" s="78"/>
      <c r="X134" s="110"/>
      <c r="Y134" s="78"/>
      <c r="Z134" s="78"/>
      <c r="AE134" s="78"/>
      <c r="AF134" s="78"/>
      <c r="AG134" s="78"/>
      <c r="AH134" s="78"/>
      <c r="AI134" s="78"/>
      <c r="AJ134" s="78"/>
      <c r="AK134" s="78"/>
      <c r="AL134" s="78"/>
      <c r="AM134" s="78"/>
      <c r="AN134" s="78"/>
      <c r="AO134" s="78"/>
      <c r="AP134" s="78"/>
      <c r="AQ134" s="78"/>
      <c r="AR134" s="78"/>
      <c r="AS134" s="78"/>
      <c r="AT134" s="78"/>
    </row>
    <row r="135" spans="1:46" ht="15" customHeight="1" x14ac:dyDescent="0.25">
      <c r="A135" s="106"/>
      <c r="C135" s="80"/>
      <c r="D135" s="80"/>
      <c r="E135" s="80"/>
      <c r="F135" s="78"/>
      <c r="G135" s="78"/>
      <c r="H135" s="78"/>
      <c r="I135" s="78"/>
      <c r="J135" s="78"/>
      <c r="K135" s="78"/>
      <c r="L135" s="78"/>
      <c r="M135" s="78"/>
      <c r="N135" s="78"/>
      <c r="O135" s="78"/>
      <c r="T135" s="78"/>
      <c r="U135" s="78"/>
      <c r="V135" s="78"/>
      <c r="W135" s="78"/>
      <c r="X135" s="110"/>
      <c r="Y135" s="78"/>
      <c r="Z135" s="78"/>
      <c r="AE135" s="78"/>
      <c r="AF135" s="78"/>
      <c r="AG135" s="78"/>
      <c r="AH135" s="78"/>
      <c r="AI135" s="78"/>
      <c r="AJ135" s="78"/>
      <c r="AK135" s="78"/>
      <c r="AL135" s="78"/>
      <c r="AM135" s="78"/>
      <c r="AN135" s="78"/>
      <c r="AO135" s="78"/>
      <c r="AP135" s="78"/>
      <c r="AQ135" s="78"/>
      <c r="AR135" s="78"/>
      <c r="AS135" s="78"/>
      <c r="AT135" s="78"/>
    </row>
    <row r="136" spans="1:46" ht="15" customHeight="1" x14ac:dyDescent="0.25">
      <c r="A136" s="106"/>
      <c r="F136" s="78"/>
      <c r="G136" s="78"/>
      <c r="H136" s="78"/>
      <c r="I136" s="78"/>
      <c r="J136" s="78"/>
      <c r="K136" s="78"/>
      <c r="L136" s="78"/>
      <c r="M136" s="78"/>
      <c r="N136" s="78"/>
      <c r="O136" s="78"/>
      <c r="T136" s="78"/>
      <c r="U136" s="78"/>
      <c r="V136" s="78"/>
      <c r="W136" s="78"/>
      <c r="X136" s="110"/>
      <c r="Y136" s="78"/>
      <c r="Z136" s="78"/>
      <c r="AE136" s="78"/>
      <c r="AF136" s="78"/>
      <c r="AG136" s="78"/>
      <c r="AH136" s="78"/>
      <c r="AI136" s="78"/>
      <c r="AJ136" s="78"/>
      <c r="AK136" s="78"/>
      <c r="AL136" s="78"/>
      <c r="AM136" s="78"/>
      <c r="AN136" s="78"/>
      <c r="AO136" s="78"/>
      <c r="AP136" s="78"/>
      <c r="AQ136" s="78"/>
      <c r="AR136" s="78"/>
      <c r="AS136" s="78"/>
      <c r="AT136" s="78"/>
    </row>
    <row r="137" spans="1:46" ht="15" customHeight="1" x14ac:dyDescent="0.25">
      <c r="A137" s="106"/>
      <c r="B137" s="80"/>
      <c r="F137" s="78"/>
      <c r="G137" s="78"/>
      <c r="H137" s="78"/>
      <c r="I137" s="78"/>
      <c r="J137" s="78"/>
      <c r="K137" s="78"/>
      <c r="L137" s="78"/>
      <c r="M137" s="78"/>
      <c r="N137" s="78"/>
      <c r="O137" s="78"/>
      <c r="T137" s="78"/>
      <c r="U137" s="78"/>
      <c r="V137" s="78"/>
      <c r="W137" s="78"/>
      <c r="X137" s="110"/>
      <c r="Y137" s="78"/>
      <c r="Z137" s="78"/>
      <c r="AE137" s="78"/>
      <c r="AF137" s="78"/>
      <c r="AG137" s="78"/>
      <c r="AH137" s="78"/>
      <c r="AI137" s="78"/>
      <c r="AJ137" s="78"/>
      <c r="AK137" s="78"/>
      <c r="AL137" s="78"/>
      <c r="AM137" s="78"/>
      <c r="AN137" s="78"/>
      <c r="AO137" s="78"/>
      <c r="AP137" s="78"/>
      <c r="AQ137" s="78"/>
      <c r="AR137" s="78"/>
      <c r="AS137" s="78"/>
      <c r="AT137" s="78"/>
    </row>
    <row r="138" spans="1:46" ht="15" customHeight="1" x14ac:dyDescent="0.25">
      <c r="A138" s="106"/>
      <c r="B138" s="136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78"/>
      <c r="N138" s="78"/>
      <c r="O138" s="78"/>
      <c r="T138" s="78"/>
      <c r="U138" s="78"/>
      <c r="V138" s="78"/>
      <c r="W138" s="78"/>
      <c r="X138" s="110"/>
      <c r="Y138" s="78"/>
      <c r="Z138" s="78"/>
      <c r="AE138" s="78"/>
      <c r="AF138" s="78"/>
      <c r="AG138" s="78"/>
      <c r="AH138" s="78"/>
      <c r="AI138" s="78"/>
      <c r="AJ138" s="78"/>
      <c r="AK138" s="78"/>
      <c r="AL138" s="78"/>
      <c r="AM138" s="78"/>
      <c r="AN138" s="78"/>
      <c r="AO138" s="78"/>
      <c r="AP138" s="78"/>
      <c r="AQ138" s="78"/>
      <c r="AR138" s="78"/>
      <c r="AS138" s="78"/>
      <c r="AT138" s="78"/>
    </row>
    <row r="139" spans="1:46" ht="15" customHeight="1" x14ac:dyDescent="0.25">
      <c r="A139" s="106"/>
      <c r="B139" s="136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78"/>
      <c r="N139" s="78"/>
      <c r="O139" s="78"/>
      <c r="T139" s="78"/>
      <c r="U139" s="78"/>
      <c r="V139" s="78"/>
      <c r="W139" s="78"/>
      <c r="X139" s="110"/>
      <c r="Y139" s="78"/>
      <c r="Z139" s="78"/>
      <c r="AA139" s="78"/>
      <c r="AB139" s="78"/>
      <c r="AC139" s="78"/>
      <c r="AD139" s="78"/>
      <c r="AE139" s="78"/>
      <c r="AF139" s="78"/>
      <c r="AG139" s="78"/>
      <c r="AH139" s="78"/>
      <c r="AI139" s="78"/>
      <c r="AJ139" s="78"/>
      <c r="AK139" s="78"/>
      <c r="AL139" s="78"/>
      <c r="AM139" s="78"/>
      <c r="AN139" s="78"/>
      <c r="AO139" s="78"/>
      <c r="AP139" s="78"/>
      <c r="AQ139" s="78"/>
      <c r="AR139" s="78"/>
      <c r="AS139" s="78"/>
      <c r="AT139" s="78"/>
    </row>
    <row r="140" spans="1:46" ht="15" customHeight="1" thickBot="1" x14ac:dyDescent="0.35">
      <c r="A140" s="106"/>
      <c r="C140" s="274" t="s">
        <v>215</v>
      </c>
      <c r="D140" s="274"/>
      <c r="E140" s="274"/>
      <c r="F140" s="78"/>
      <c r="G140" s="78"/>
      <c r="H140" s="78"/>
      <c r="I140" s="78"/>
      <c r="J140" s="78"/>
      <c r="K140" s="78"/>
      <c r="L140" s="78"/>
      <c r="M140" s="78"/>
      <c r="N140" s="78"/>
      <c r="O140" s="78"/>
      <c r="P140" s="78"/>
      <c r="T140" s="78"/>
      <c r="U140" s="78"/>
      <c r="V140" s="78"/>
      <c r="W140" s="78"/>
      <c r="X140" s="110"/>
      <c r="Y140" s="78"/>
      <c r="Z140" s="78"/>
      <c r="AA140" s="78"/>
      <c r="AB140" s="78"/>
      <c r="AC140" s="78"/>
      <c r="AD140" s="78"/>
      <c r="AE140" s="78"/>
      <c r="AF140" s="78"/>
      <c r="AG140" s="78"/>
      <c r="AH140" s="78"/>
      <c r="AI140" s="78"/>
      <c r="AJ140" s="78"/>
      <c r="AK140" s="78"/>
      <c r="AL140" s="78"/>
      <c r="AM140" s="78"/>
      <c r="AN140" s="78"/>
      <c r="AO140" s="78"/>
      <c r="AP140" s="78"/>
      <c r="AQ140" s="78"/>
      <c r="AR140" s="78"/>
      <c r="AS140" s="78"/>
      <c r="AT140" s="78"/>
    </row>
    <row r="141" spans="1:46" ht="15" customHeight="1" thickTop="1" x14ac:dyDescent="0.25">
      <c r="A141" s="106"/>
      <c r="C141" s="137" t="s">
        <v>105</v>
      </c>
      <c r="D141" s="137" t="s">
        <v>106</v>
      </c>
      <c r="E141" s="137" t="s">
        <v>32</v>
      </c>
      <c r="F141" s="78"/>
      <c r="G141" s="78"/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110"/>
      <c r="Y141" s="78"/>
      <c r="Z141" s="78"/>
      <c r="AA141" s="78"/>
      <c r="AB141" s="78"/>
      <c r="AC141" s="78"/>
      <c r="AD141" s="78"/>
      <c r="AE141" s="78"/>
      <c r="AF141" s="78"/>
      <c r="AG141" s="78"/>
      <c r="AH141" s="78"/>
      <c r="AI141" s="78"/>
      <c r="AJ141" s="78"/>
      <c r="AK141" s="78"/>
      <c r="AL141" s="78"/>
      <c r="AM141" s="78"/>
      <c r="AN141" s="78"/>
      <c r="AO141" s="78"/>
      <c r="AP141" s="78"/>
      <c r="AQ141" s="78"/>
      <c r="AR141" s="78"/>
      <c r="AS141" s="78"/>
      <c r="AT141" s="78"/>
    </row>
    <row r="142" spans="1:46" ht="15" customHeight="1" x14ac:dyDescent="0.25">
      <c r="A142" s="106"/>
      <c r="B142" s="135" t="s">
        <v>71</v>
      </c>
      <c r="C142">
        <f>SUMIF(F117:F135,"1",C117:C135)</f>
        <v>0</v>
      </c>
      <c r="D142">
        <f>SUMIF(F117:F135,"1",D117:D135)</f>
        <v>0</v>
      </c>
      <c r="E142">
        <f>SUMIF(F117:F135,"1",E117:E135)</f>
        <v>0</v>
      </c>
      <c r="F142" s="78"/>
      <c r="G142" s="78"/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110"/>
      <c r="Y142" s="78"/>
      <c r="Z142" s="78"/>
      <c r="AA142" s="78"/>
      <c r="AB142" s="78"/>
      <c r="AC142" s="78"/>
      <c r="AD142" s="78"/>
      <c r="AE142" s="78"/>
      <c r="AF142" s="78"/>
      <c r="AG142" s="78"/>
      <c r="AH142" s="78"/>
      <c r="AI142" s="78"/>
      <c r="AJ142" s="78"/>
      <c r="AK142" s="78"/>
      <c r="AL142" s="78"/>
      <c r="AM142" s="78"/>
      <c r="AN142" s="78"/>
      <c r="AO142" s="78"/>
      <c r="AP142" s="78"/>
      <c r="AQ142" s="78"/>
      <c r="AR142" s="78"/>
      <c r="AS142" s="78"/>
      <c r="AT142" s="78"/>
    </row>
    <row r="143" spans="1:46" ht="15" customHeight="1" x14ac:dyDescent="0.25">
      <c r="A143" s="105"/>
      <c r="B143" s="135" t="s">
        <v>73</v>
      </c>
      <c r="C143">
        <f>SUMIF(F117:F135,"2",C117:C135)</f>
        <v>0</v>
      </c>
      <c r="D143">
        <f>SUMIF(F117:F135,"2",D117:D135)</f>
        <v>0</v>
      </c>
      <c r="E143">
        <f>SUMIF(F118:F136,"2",E118:E136)</f>
        <v>0</v>
      </c>
      <c r="F143" s="78"/>
      <c r="G143" s="78"/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110"/>
      <c r="Y143" s="78"/>
      <c r="Z143" s="78"/>
      <c r="AA143" s="78"/>
      <c r="AB143" s="78"/>
      <c r="AC143" s="78"/>
      <c r="AD143" s="78"/>
      <c r="AE143" s="78"/>
      <c r="AF143" s="78"/>
      <c r="AG143" s="78"/>
      <c r="AH143" s="78"/>
      <c r="AI143" s="78"/>
      <c r="AJ143" s="78"/>
      <c r="AK143" s="78"/>
      <c r="AL143" s="78"/>
      <c r="AM143" s="78"/>
      <c r="AN143" s="78"/>
      <c r="AO143" s="78"/>
      <c r="AP143" s="78"/>
      <c r="AQ143" s="78"/>
      <c r="AR143" s="78"/>
      <c r="AS143" s="78"/>
      <c r="AT143" s="78"/>
    </row>
    <row r="144" spans="1:46" ht="15" customHeight="1" x14ac:dyDescent="0.25">
      <c r="A144" s="106"/>
      <c r="B144" s="135" t="s">
        <v>74</v>
      </c>
      <c r="C144">
        <f>SUMIF(F117:F135,"3",C117:C135)</f>
        <v>0</v>
      </c>
      <c r="D144">
        <f>SUMIF(F117:F135,"3",D117:D135)</f>
        <v>0</v>
      </c>
      <c r="E144">
        <f>SUMIF(F117:F135,"3",E117:E135)</f>
        <v>0</v>
      </c>
      <c r="F144" s="78"/>
      <c r="G144" s="78"/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110"/>
      <c r="Y144" s="78"/>
      <c r="Z144" s="78"/>
      <c r="AA144" s="78"/>
      <c r="AB144" s="78"/>
      <c r="AC144" s="78"/>
      <c r="AD144" s="78"/>
      <c r="AE144" s="78"/>
      <c r="AF144" s="78"/>
      <c r="AG144" s="78"/>
      <c r="AH144" s="78"/>
      <c r="AI144" s="78"/>
      <c r="AJ144" s="78"/>
      <c r="AK144" s="78"/>
      <c r="AL144" s="78"/>
      <c r="AM144" s="78"/>
      <c r="AN144" s="78"/>
      <c r="AO144" s="78"/>
      <c r="AP144" s="78"/>
      <c r="AQ144" s="78"/>
      <c r="AR144" s="78"/>
      <c r="AS144" s="78"/>
      <c r="AT144" s="78"/>
    </row>
    <row r="145" spans="1:46" ht="15" customHeight="1" x14ac:dyDescent="0.25">
      <c r="A145" s="106"/>
      <c r="B145" s="135" t="s">
        <v>75</v>
      </c>
      <c r="C145">
        <f>SUMIF(F117:F135,"4",C117:C135)</f>
        <v>0</v>
      </c>
      <c r="D145">
        <f>SUMIF(F117:F135,"4",D117:D135)</f>
        <v>0</v>
      </c>
      <c r="E145">
        <f>SUMIF(F117:F135,"4",E117:E135)</f>
        <v>0</v>
      </c>
      <c r="F145" s="78"/>
      <c r="G145" s="78"/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/>
      <c r="U145" s="78"/>
      <c r="V145" s="78"/>
      <c r="W145" s="78"/>
      <c r="X145" s="110"/>
      <c r="Y145" s="78"/>
      <c r="Z145" s="78"/>
      <c r="AA145" s="78"/>
      <c r="AB145" s="78"/>
      <c r="AC145" s="78"/>
      <c r="AD145" s="78"/>
      <c r="AE145" s="78"/>
      <c r="AF145" s="78"/>
      <c r="AG145" s="78"/>
      <c r="AH145" s="78"/>
      <c r="AI145" s="78"/>
      <c r="AJ145" s="78"/>
      <c r="AK145" s="78"/>
      <c r="AL145" s="78"/>
      <c r="AM145" s="78"/>
      <c r="AN145" s="78"/>
      <c r="AO145" s="78"/>
      <c r="AP145" s="78"/>
      <c r="AQ145" s="78"/>
      <c r="AR145" s="78"/>
      <c r="AS145" s="78"/>
      <c r="AT145" s="78"/>
    </row>
    <row r="146" spans="1:46" ht="15" customHeight="1" x14ac:dyDescent="0.25">
      <c r="A146" s="106"/>
      <c r="B146" s="135" t="s">
        <v>76</v>
      </c>
      <c r="C146">
        <f>SUMIF(F117:F135,"5",C117:C135)</f>
        <v>0</v>
      </c>
      <c r="D146">
        <f>SUMIF(F117:F135,"5",D117:D135)</f>
        <v>0</v>
      </c>
      <c r="E146">
        <f>SUMIF(F117:F135,"5",E117:E135)</f>
        <v>0</v>
      </c>
      <c r="F146" s="78"/>
      <c r="G146" s="78"/>
      <c r="H146" s="78"/>
      <c r="I146" s="78"/>
      <c r="J146" s="78"/>
      <c r="K146" s="78"/>
      <c r="L146" s="78"/>
      <c r="M146" s="78"/>
      <c r="N146" s="78"/>
      <c r="O146" s="78"/>
      <c r="P146" s="78"/>
      <c r="Q146" s="78"/>
      <c r="R146" s="78"/>
      <c r="S146" s="78"/>
      <c r="T146" s="78"/>
      <c r="U146" s="78"/>
      <c r="V146" s="78"/>
      <c r="W146" s="78"/>
      <c r="X146" s="110"/>
      <c r="Y146" s="78"/>
      <c r="Z146" s="78"/>
      <c r="AA146" s="78"/>
      <c r="AB146" s="78"/>
      <c r="AC146" s="78"/>
      <c r="AD146" s="78"/>
      <c r="AE146" s="78"/>
      <c r="AF146" s="78"/>
      <c r="AG146" s="78"/>
      <c r="AH146" s="78"/>
      <c r="AI146" s="78"/>
      <c r="AJ146" s="78"/>
      <c r="AK146" s="78"/>
      <c r="AL146" s="78"/>
      <c r="AM146" s="78"/>
      <c r="AN146" s="78"/>
      <c r="AO146" s="78"/>
      <c r="AP146" s="78"/>
      <c r="AQ146" s="78"/>
      <c r="AR146" s="78"/>
      <c r="AS146" s="78"/>
      <c r="AT146" s="78"/>
    </row>
    <row r="147" spans="1:46" ht="15" customHeight="1" x14ac:dyDescent="0.25">
      <c r="A147" s="106"/>
      <c r="B147" s="135" t="s">
        <v>77</v>
      </c>
      <c r="C147">
        <f>SUMIF(F117:F135,"6",C117:C135)</f>
        <v>0</v>
      </c>
      <c r="D147">
        <f>SUMIF(F117:F135,"6",D117:D135)</f>
        <v>0</v>
      </c>
      <c r="E147">
        <f>SUMIF(F117:F135,"6",E117:E135)</f>
        <v>0</v>
      </c>
      <c r="F147" s="78"/>
      <c r="G147" s="78"/>
      <c r="H147" s="78"/>
      <c r="I147" s="78"/>
      <c r="J147" s="78"/>
      <c r="K147" s="78"/>
      <c r="L147" s="78"/>
      <c r="M147" s="78"/>
      <c r="N147" s="78"/>
      <c r="O147" s="78"/>
      <c r="P147" s="78"/>
      <c r="Q147" s="78"/>
      <c r="R147" s="78"/>
      <c r="S147" s="78"/>
      <c r="T147" s="78"/>
      <c r="U147" s="78"/>
      <c r="V147" s="78"/>
      <c r="W147" s="78"/>
      <c r="X147" s="110"/>
      <c r="Y147" s="78"/>
      <c r="Z147" s="78"/>
      <c r="AA147" s="78"/>
      <c r="AB147" s="78"/>
      <c r="AC147" s="78"/>
      <c r="AD147" s="78"/>
      <c r="AE147" s="78"/>
      <c r="AF147" s="78"/>
      <c r="AG147" s="78"/>
      <c r="AH147" s="78"/>
      <c r="AI147" s="78"/>
      <c r="AJ147" s="78"/>
      <c r="AK147" s="78"/>
      <c r="AL147" s="78"/>
      <c r="AM147" s="78"/>
      <c r="AN147" s="78"/>
      <c r="AO147" s="78"/>
      <c r="AP147" s="78"/>
      <c r="AQ147" s="78"/>
      <c r="AR147" s="78"/>
      <c r="AS147" s="78"/>
      <c r="AT147" s="78"/>
    </row>
    <row r="148" spans="1:46" ht="15" customHeight="1" x14ac:dyDescent="0.25">
      <c r="A148" s="106"/>
      <c r="B148" s="135" t="s">
        <v>78</v>
      </c>
      <c r="C148">
        <f>SUMIF(F117:F135,"7",C117:C135)</f>
        <v>0</v>
      </c>
      <c r="D148">
        <f>SUMIF(F117:F135,"7",D117:D135)</f>
        <v>0</v>
      </c>
      <c r="E148">
        <f>SUMIF(F117:F135,"7",E117:E135)</f>
        <v>0</v>
      </c>
      <c r="F148" s="78"/>
      <c r="G148" s="78"/>
      <c r="H148" s="78"/>
      <c r="I148" s="78"/>
      <c r="J148" s="78"/>
      <c r="K148" s="78"/>
      <c r="L148" s="78"/>
      <c r="M148" s="7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109"/>
      <c r="Y148" s="78"/>
      <c r="Z148" s="78"/>
      <c r="AA148" s="78"/>
      <c r="AB148" s="78"/>
      <c r="AC148" s="78"/>
      <c r="AD148" s="78"/>
      <c r="AE148" s="78"/>
      <c r="AF148" s="78"/>
      <c r="AG148" s="78"/>
      <c r="AH148" s="78"/>
      <c r="AI148" s="78"/>
      <c r="AJ148" s="78"/>
      <c r="AK148" s="78"/>
      <c r="AL148" s="78"/>
      <c r="AM148" s="78"/>
      <c r="AN148" s="78"/>
      <c r="AO148" s="78"/>
      <c r="AP148" s="78"/>
      <c r="AQ148" s="78"/>
      <c r="AR148" s="78"/>
      <c r="AS148" s="78"/>
      <c r="AT148" s="78"/>
    </row>
    <row r="149" spans="1:46" ht="15" customHeight="1" x14ac:dyDescent="0.25">
      <c r="A149" s="106"/>
      <c r="B149" s="135" t="s">
        <v>79</v>
      </c>
      <c r="C149">
        <f>SUMIF(F117:F135,"8",C117:C135)</f>
        <v>0</v>
      </c>
      <c r="D149">
        <f>SUMIF(F117:F135,"8",D117:D135)</f>
        <v>0</v>
      </c>
      <c r="E149">
        <f>SUMIF(F117:F135,"8",E117:E135)</f>
        <v>0</v>
      </c>
      <c r="F149" s="78"/>
      <c r="G149" s="78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  <c r="AC149" s="78"/>
      <c r="AD149" s="78"/>
      <c r="AE149" s="78"/>
      <c r="AF149" s="78"/>
      <c r="AG149" s="78"/>
      <c r="AH149" s="78"/>
      <c r="AI149" s="78"/>
      <c r="AJ149" s="78"/>
      <c r="AK149" s="78"/>
      <c r="AL149" s="78"/>
      <c r="AM149" s="78"/>
      <c r="AN149" s="78"/>
      <c r="AO149" s="78"/>
      <c r="AP149" s="78"/>
      <c r="AQ149" s="78"/>
      <c r="AR149" s="78"/>
      <c r="AS149" s="78"/>
      <c r="AT149" s="78"/>
    </row>
    <row r="150" spans="1:46" ht="15" customHeight="1" x14ac:dyDescent="0.25">
      <c r="A150" s="106"/>
      <c r="B150" s="135" t="s">
        <v>80</v>
      </c>
      <c r="C150">
        <f>SUMIF(F117:F135,"9",C117:C135)</f>
        <v>0</v>
      </c>
      <c r="D150">
        <f>SUMIF(F117:F135,"9",D117:D135)</f>
        <v>0</v>
      </c>
      <c r="E150">
        <f>SUMIF(F117:F135,"9",E117:E135)</f>
        <v>0</v>
      </c>
      <c r="F150" s="78"/>
      <c r="G150" s="78"/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  <c r="AC150" s="78"/>
      <c r="AD150" s="78"/>
      <c r="AE150" s="78"/>
      <c r="AF150" s="78"/>
      <c r="AG150" s="78"/>
      <c r="AH150" s="78"/>
      <c r="AI150" s="78"/>
      <c r="AJ150" s="78"/>
      <c r="AK150" s="78"/>
      <c r="AL150" s="78"/>
      <c r="AM150" s="78"/>
      <c r="AN150" s="78"/>
      <c r="AO150" s="78"/>
      <c r="AP150" s="78"/>
      <c r="AQ150" s="78"/>
      <c r="AR150" s="78"/>
      <c r="AS150" s="78"/>
      <c r="AT150" s="78"/>
    </row>
    <row r="151" spans="1:46" ht="15" customHeight="1" x14ac:dyDescent="0.25">
      <c r="A151" s="106"/>
      <c r="B151" s="135" t="s">
        <v>81</v>
      </c>
      <c r="C151">
        <f>SUMIF(F117:F135,"10",C117:C135)</f>
        <v>0</v>
      </c>
      <c r="D151">
        <f>SUMIF(F117:F135,"10",D117:D135)</f>
        <v>0</v>
      </c>
      <c r="E151">
        <f>SUMIF(F117:F135,"10",E117:E135)</f>
        <v>0</v>
      </c>
      <c r="F151" s="78"/>
      <c r="G151" s="78"/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  <c r="AC151" s="78"/>
      <c r="AD151" s="78"/>
      <c r="AE151" s="78"/>
      <c r="AF151" s="78"/>
      <c r="AG151" s="78"/>
      <c r="AH151" s="78"/>
      <c r="AI151" s="78"/>
      <c r="AJ151" s="78"/>
      <c r="AK151" s="78"/>
      <c r="AL151" s="78"/>
      <c r="AM151" s="78"/>
      <c r="AN151" s="78"/>
      <c r="AO151" s="78"/>
      <c r="AP151" s="78"/>
      <c r="AQ151" s="78"/>
      <c r="AR151" s="78"/>
      <c r="AS151" s="78"/>
      <c r="AT151" s="78"/>
    </row>
    <row r="152" spans="1:46" ht="15" customHeight="1" x14ac:dyDescent="0.25">
      <c r="A152" s="106"/>
      <c r="B152" s="135" t="s">
        <v>82</v>
      </c>
      <c r="C152">
        <f>SUMIF(F117:F135,"11",C117:C135)</f>
        <v>0</v>
      </c>
      <c r="D152">
        <f>SUMIF(F117:F135,"11",D117:D135)</f>
        <v>0</v>
      </c>
      <c r="E152">
        <f>SUMIF(F117:F135,"11",E117:E135)</f>
        <v>0</v>
      </c>
      <c r="F152" s="78"/>
      <c r="G152" s="78"/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  <c r="AC152" s="78"/>
      <c r="AD152" s="78"/>
      <c r="AE152" s="78"/>
      <c r="AF152" s="78"/>
      <c r="AG152" s="78"/>
      <c r="AH152" s="78"/>
      <c r="AI152" s="78"/>
      <c r="AJ152" s="78"/>
      <c r="AK152" s="78"/>
      <c r="AL152" s="78"/>
      <c r="AM152" s="78"/>
      <c r="AN152" s="78"/>
      <c r="AO152" s="78"/>
      <c r="AP152" s="78"/>
      <c r="AQ152" s="78"/>
      <c r="AR152" s="78"/>
      <c r="AS152" s="78"/>
      <c r="AT152" s="78"/>
    </row>
    <row r="153" spans="1:46" ht="15" customHeight="1" x14ac:dyDescent="0.25">
      <c r="A153" s="105"/>
      <c r="B153" s="135" t="s">
        <v>83</v>
      </c>
      <c r="C153">
        <f>SUMIF(F117:F135,"12",C117:C135)</f>
        <v>0</v>
      </c>
      <c r="D153">
        <f>SUMIF(F117:F135,"12",D117:D135)</f>
        <v>0</v>
      </c>
      <c r="E153">
        <f>SUMIF(F117:F135,"12",E117:E135)</f>
        <v>0</v>
      </c>
      <c r="F153" s="78"/>
      <c r="G153" s="78"/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  <c r="AC153" s="78"/>
      <c r="AD153" s="78"/>
      <c r="AE153" s="78"/>
      <c r="AF153" s="78"/>
      <c r="AG153" s="78"/>
      <c r="AH153" s="78"/>
      <c r="AI153" s="78"/>
      <c r="AJ153" s="78"/>
      <c r="AK153" s="78"/>
      <c r="AL153" s="78"/>
      <c r="AM153" s="78"/>
      <c r="AN153" s="78"/>
      <c r="AO153" s="78"/>
      <c r="AP153" s="78"/>
      <c r="AQ153" s="78"/>
      <c r="AR153" s="78"/>
      <c r="AS153" s="78"/>
      <c r="AT153" s="78"/>
    </row>
    <row r="154" spans="1:46" ht="15" customHeight="1" x14ac:dyDescent="0.25">
      <c r="A154" s="106"/>
      <c r="B154" s="135" t="s">
        <v>84</v>
      </c>
      <c r="C154">
        <f>SUMIF(F117:F135,"13",C117:C135)</f>
        <v>0</v>
      </c>
      <c r="D154">
        <f>SUMIF(F117:F135,"13",D117:D135)</f>
        <v>0</v>
      </c>
      <c r="E154">
        <f>SUMIF(F117:F135,"13",E117:E135)</f>
        <v>0</v>
      </c>
      <c r="F154" s="78"/>
      <c r="G154" s="78"/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  <c r="AC154" s="78"/>
      <c r="AD154" s="78"/>
      <c r="AE154" s="78"/>
      <c r="AF154" s="78"/>
      <c r="AG154" s="78"/>
      <c r="AH154" s="78"/>
      <c r="AI154" s="78"/>
      <c r="AJ154" s="78"/>
      <c r="AK154" s="78"/>
      <c r="AL154" s="78"/>
      <c r="AM154" s="78"/>
      <c r="AN154" s="78"/>
      <c r="AO154" s="78"/>
      <c r="AP154" s="78"/>
      <c r="AQ154" s="78"/>
      <c r="AR154" s="78"/>
      <c r="AS154" s="78"/>
      <c r="AT154" s="78"/>
    </row>
    <row r="155" spans="1:46" ht="15" customHeight="1" x14ac:dyDescent="0.25">
      <c r="A155" s="106"/>
      <c r="B155" s="135" t="s">
        <v>85</v>
      </c>
      <c r="C155">
        <f>SUMIF(F117:F135,"14",C117:C135)</f>
        <v>0</v>
      </c>
      <c r="D155">
        <f>SUMIF(F117:F135,"14",D117:D135)</f>
        <v>0</v>
      </c>
      <c r="E155">
        <f>SUMIF(F117:F135,"14",E117:E135)</f>
        <v>0</v>
      </c>
      <c r="F155" s="78"/>
      <c r="G155" s="78"/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  <c r="AC155" s="78"/>
      <c r="AD155" s="78"/>
      <c r="AE155" s="78"/>
      <c r="AF155" s="78"/>
      <c r="AG155" s="78"/>
      <c r="AH155" s="78"/>
      <c r="AI155" s="78"/>
      <c r="AJ155" s="78"/>
      <c r="AK155" s="78"/>
      <c r="AL155" s="78"/>
      <c r="AM155" s="78"/>
      <c r="AN155" s="78"/>
      <c r="AO155" s="78"/>
      <c r="AP155" s="78"/>
      <c r="AQ155" s="78"/>
      <c r="AR155" s="78"/>
      <c r="AS155" s="78"/>
      <c r="AT155" s="78"/>
    </row>
    <row r="156" spans="1:46" ht="15" customHeight="1" x14ac:dyDescent="0.25">
      <c r="A156" s="106"/>
      <c r="B156" s="135" t="s">
        <v>216</v>
      </c>
      <c r="C156">
        <f>SUMIF(F117:F135,"15",C117:C135)</f>
        <v>0</v>
      </c>
      <c r="D156">
        <f>SUMIF(F117:F135,"15",D117:D135)</f>
        <v>0</v>
      </c>
      <c r="E156">
        <f>SUMIF(F117:F135,"15",E117:E135)</f>
        <v>0</v>
      </c>
      <c r="F156" s="78"/>
      <c r="G156" s="78"/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  <c r="AC156" s="78"/>
      <c r="AD156" s="78"/>
      <c r="AE156" s="78"/>
      <c r="AF156" s="78"/>
      <c r="AG156" s="78"/>
      <c r="AH156" s="78"/>
      <c r="AI156" s="78"/>
      <c r="AJ156" s="78"/>
      <c r="AK156" s="78"/>
      <c r="AL156" s="78"/>
      <c r="AM156" s="78"/>
      <c r="AN156" s="78"/>
      <c r="AO156" s="78"/>
      <c r="AP156" s="78"/>
      <c r="AQ156" s="78"/>
      <c r="AR156" s="78"/>
      <c r="AS156" s="78"/>
      <c r="AT156" s="78"/>
    </row>
    <row r="157" spans="1:46" ht="15" customHeight="1" x14ac:dyDescent="0.25">
      <c r="A157" s="106"/>
      <c r="B157" s="135" t="s">
        <v>217</v>
      </c>
      <c r="C157">
        <f>SUMIF(F117:F135,"16",C117:C135)</f>
        <v>0</v>
      </c>
      <c r="D157">
        <f>SUMIF(F117:F135,"16",D117:D135)</f>
        <v>0</v>
      </c>
      <c r="E157">
        <f>SUMIF(F117:F135,"16",E117:E135)</f>
        <v>0</v>
      </c>
      <c r="F157" s="78"/>
      <c r="G157" s="78"/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  <c r="AC157" s="78"/>
      <c r="AD157" s="78"/>
      <c r="AE157" s="78"/>
      <c r="AF157" s="78"/>
      <c r="AG157" s="78"/>
      <c r="AH157" s="78"/>
      <c r="AI157" s="78"/>
      <c r="AJ157" s="78"/>
      <c r="AK157" s="78"/>
      <c r="AL157" s="78"/>
      <c r="AM157" s="78"/>
      <c r="AN157" s="78"/>
      <c r="AO157" s="78"/>
      <c r="AP157" s="78"/>
      <c r="AQ157" s="78"/>
      <c r="AR157" s="78"/>
      <c r="AS157" s="78"/>
      <c r="AT157" s="78"/>
    </row>
    <row r="158" spans="1:46" ht="15" customHeight="1" x14ac:dyDescent="0.25">
      <c r="A158" s="106"/>
      <c r="B158" s="135" t="s">
        <v>218</v>
      </c>
      <c r="C158">
        <f>SUMIF(F117:F135,"17",C117:C135)</f>
        <v>0</v>
      </c>
      <c r="D158">
        <f>SUMIF(F117:F135,"17",D117:D135)</f>
        <v>0</v>
      </c>
      <c r="E158">
        <f>SUMIF(F117:F135,"17",E117:E135)</f>
        <v>0</v>
      </c>
      <c r="F158" s="78"/>
      <c r="G158" s="78"/>
      <c r="H158" s="78"/>
      <c r="I158" s="78"/>
      <c r="J158" s="78"/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  <c r="AF158" s="78"/>
      <c r="AG158" s="78"/>
      <c r="AH158" s="78"/>
      <c r="AI158" s="78"/>
      <c r="AJ158" s="78"/>
      <c r="AK158" s="78"/>
      <c r="AL158" s="78"/>
      <c r="AM158" s="78"/>
      <c r="AN158" s="78"/>
      <c r="AO158" s="78"/>
      <c r="AP158" s="78"/>
      <c r="AQ158" s="78"/>
      <c r="AR158" s="78"/>
      <c r="AS158" s="78"/>
      <c r="AT158" s="78"/>
    </row>
    <row r="159" spans="1:46" ht="15" customHeight="1" x14ac:dyDescent="0.25">
      <c r="A159" s="106"/>
      <c r="B159" s="135" t="s">
        <v>219</v>
      </c>
      <c r="C159">
        <f>SUMIF(F117:F135,"18",C117:C135)</f>
        <v>0</v>
      </c>
      <c r="D159">
        <f>SUMIF(F117:F135,"18",D117:D135)</f>
        <v>0</v>
      </c>
      <c r="E159">
        <f>SUMIF(F117:F135,"18",E117:E135)</f>
        <v>0</v>
      </c>
      <c r="F159" s="78"/>
      <c r="G159" s="78"/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  <c r="AA159" s="78"/>
      <c r="AB159" s="78"/>
      <c r="AC159" s="78"/>
      <c r="AD159" s="78"/>
      <c r="AE159" s="78"/>
      <c r="AF159" s="78"/>
      <c r="AG159" s="78"/>
      <c r="AH159" s="78"/>
      <c r="AI159" s="78"/>
      <c r="AJ159" s="78"/>
      <c r="AK159" s="78"/>
      <c r="AL159" s="78"/>
      <c r="AM159" s="78"/>
      <c r="AN159" s="78"/>
      <c r="AO159" s="78"/>
      <c r="AP159" s="78"/>
      <c r="AQ159" s="78"/>
      <c r="AR159" s="78"/>
      <c r="AS159" s="78"/>
      <c r="AT159" s="78"/>
    </row>
    <row r="160" spans="1:46" ht="15" customHeight="1" x14ac:dyDescent="0.25">
      <c r="A160" s="106"/>
      <c r="B160" s="135" t="s">
        <v>220</v>
      </c>
      <c r="C160">
        <f>SUMIF(F117:F135,"19",C117:C135)</f>
        <v>0</v>
      </c>
      <c r="D160">
        <f>SUMIF(F117:F135,"19",D117:D135)</f>
        <v>0</v>
      </c>
      <c r="E160">
        <f>SUMIF(F117:F135,"19",E117:E135)</f>
        <v>0</v>
      </c>
      <c r="F160" s="78"/>
      <c r="G160" s="78"/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  <c r="AA160" s="78"/>
      <c r="AB160" s="78"/>
      <c r="AC160" s="78"/>
      <c r="AD160" s="78"/>
      <c r="AE160" s="78"/>
      <c r="AF160" s="78"/>
      <c r="AG160" s="78"/>
      <c r="AH160" s="78"/>
      <c r="AI160" s="78"/>
      <c r="AJ160" s="78"/>
      <c r="AK160" s="78"/>
      <c r="AL160" s="78"/>
      <c r="AM160" s="78"/>
      <c r="AN160" s="78"/>
      <c r="AO160" s="78"/>
      <c r="AP160" s="78"/>
      <c r="AQ160" s="78"/>
      <c r="AR160" s="78"/>
      <c r="AS160" s="78"/>
      <c r="AT160" s="78"/>
    </row>
    <row r="161" spans="1:46" ht="15" customHeight="1" x14ac:dyDescent="0.25">
      <c r="A161" s="106"/>
      <c r="B161" s="135" t="s">
        <v>221</v>
      </c>
      <c r="C161">
        <f>SUMIF(F117:F135,"20",C117:C135)</f>
        <v>0</v>
      </c>
      <c r="D161">
        <f>SUMIF(F117:F135,"20",D117:D135)</f>
        <v>0</v>
      </c>
      <c r="E161">
        <f>SUMIF(F117:F135,"20",E117:E135)</f>
        <v>0</v>
      </c>
      <c r="F161" s="78"/>
      <c r="G161" s="78"/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  <c r="AA161" s="78"/>
      <c r="AB161" s="78"/>
      <c r="AC161" s="78"/>
      <c r="AD161" s="78"/>
      <c r="AE161" s="78"/>
      <c r="AF161" s="78"/>
      <c r="AG161" s="78"/>
      <c r="AH161" s="78"/>
      <c r="AI161" s="78"/>
      <c r="AJ161" s="78"/>
      <c r="AK161" s="78"/>
      <c r="AL161" s="78"/>
      <c r="AM161" s="78"/>
      <c r="AN161" s="78"/>
      <c r="AO161" s="78"/>
      <c r="AP161" s="78"/>
      <c r="AQ161" s="78"/>
      <c r="AR161" s="78"/>
      <c r="AS161" s="78"/>
      <c r="AT161" s="78"/>
    </row>
    <row r="162" spans="1:46" ht="15" customHeight="1" x14ac:dyDescent="0.25">
      <c r="A162" s="106"/>
      <c r="B162" s="135" t="s">
        <v>222</v>
      </c>
      <c r="C162">
        <f>SUMIF(F117:F135,"21",C117:C135)</f>
        <v>0</v>
      </c>
      <c r="D162">
        <f>SUMIF(F117:F135,"21",D117:D135)</f>
        <v>0</v>
      </c>
      <c r="E162">
        <f>SUMIF(F117:F135,"21",E117:E135)</f>
        <v>0</v>
      </c>
      <c r="F162" s="78"/>
      <c r="G162" s="78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  <c r="AC162" s="78"/>
      <c r="AD162" s="78"/>
      <c r="AE162" s="78"/>
      <c r="AF162" s="78"/>
      <c r="AG162" s="78"/>
      <c r="AH162" s="78"/>
      <c r="AI162" s="78"/>
      <c r="AJ162" s="78"/>
      <c r="AK162" s="78"/>
      <c r="AL162" s="78"/>
      <c r="AM162" s="78"/>
      <c r="AN162" s="78"/>
      <c r="AO162" s="78"/>
      <c r="AP162" s="78"/>
      <c r="AQ162" s="78"/>
      <c r="AR162" s="78"/>
      <c r="AS162" s="78"/>
      <c r="AT162" s="78"/>
    </row>
    <row r="163" spans="1:46" ht="15" customHeight="1" x14ac:dyDescent="0.25">
      <c r="A163" s="105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  <c r="AC163" s="78"/>
      <c r="AD163" s="78"/>
      <c r="AE163" s="78"/>
      <c r="AF163" s="78"/>
      <c r="AG163" s="78"/>
      <c r="AH163" s="78"/>
      <c r="AI163" s="78"/>
      <c r="AJ163" s="78"/>
      <c r="AK163" s="78"/>
      <c r="AL163" s="78"/>
      <c r="AM163" s="78"/>
      <c r="AN163" s="78"/>
      <c r="AO163" s="78"/>
      <c r="AP163" s="78"/>
      <c r="AQ163" s="78"/>
      <c r="AR163" s="78"/>
      <c r="AS163" s="78"/>
      <c r="AT163" s="78"/>
    </row>
    <row r="164" spans="1:46" ht="15" customHeight="1" x14ac:dyDescent="0.25">
      <c r="A164" s="106"/>
      <c r="B164" s="110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  <c r="AC164" s="78"/>
      <c r="AD164" s="78"/>
      <c r="AE164" s="78"/>
      <c r="AF164" s="78"/>
      <c r="AG164" s="78"/>
      <c r="AH164" s="78"/>
      <c r="AI164" s="78"/>
      <c r="AJ164" s="78"/>
      <c r="AK164" s="78"/>
      <c r="AL164" s="78"/>
      <c r="AM164" s="78"/>
      <c r="AN164" s="78"/>
      <c r="AO164" s="78"/>
      <c r="AP164" s="78"/>
      <c r="AQ164" s="78"/>
      <c r="AR164" s="78"/>
      <c r="AS164" s="78"/>
      <c r="AT164" s="78"/>
    </row>
    <row r="165" spans="1:46" ht="15" customHeight="1" x14ac:dyDescent="0.25">
      <c r="A165" s="106"/>
      <c r="B165" s="110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  <c r="AC165" s="78"/>
      <c r="AD165" s="78"/>
      <c r="AE165" s="78"/>
      <c r="AF165" s="78"/>
      <c r="AG165" s="78"/>
      <c r="AH165" s="78"/>
      <c r="AI165" s="78"/>
      <c r="AJ165" s="78"/>
      <c r="AK165" s="78"/>
      <c r="AL165" s="78"/>
      <c r="AM165" s="78"/>
      <c r="AN165" s="78"/>
      <c r="AO165" s="78"/>
      <c r="AP165" s="78"/>
      <c r="AQ165" s="78"/>
      <c r="AR165" s="78"/>
      <c r="AS165" s="78"/>
      <c r="AT165" s="78"/>
    </row>
    <row r="166" spans="1:46" ht="15" customHeight="1" x14ac:dyDescent="0.25">
      <c r="A166" s="106"/>
      <c r="B166" s="110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  <c r="AC166" s="78"/>
      <c r="AD166" s="78"/>
      <c r="AE166" s="78"/>
      <c r="AF166" s="78"/>
      <c r="AG166" s="78"/>
      <c r="AH166" s="78"/>
      <c r="AI166" s="78"/>
      <c r="AJ166" s="78"/>
      <c r="AK166" s="78"/>
      <c r="AL166" s="78"/>
      <c r="AM166" s="78"/>
      <c r="AN166" s="78"/>
      <c r="AO166" s="78"/>
      <c r="AP166" s="78"/>
      <c r="AQ166" s="78"/>
      <c r="AR166" s="78"/>
      <c r="AS166" s="78"/>
      <c r="AT166" s="78"/>
    </row>
    <row r="167" spans="1:46" ht="15" customHeight="1" x14ac:dyDescent="0.25">
      <c r="A167" s="106"/>
      <c r="B167" s="110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  <c r="AC167" s="78"/>
      <c r="AD167" s="78"/>
      <c r="AE167" s="78"/>
      <c r="AF167" s="78"/>
      <c r="AG167" s="78"/>
      <c r="AH167" s="78"/>
      <c r="AI167" s="78"/>
      <c r="AJ167" s="78"/>
      <c r="AK167" s="78"/>
      <c r="AL167" s="78"/>
      <c r="AM167" s="78"/>
      <c r="AN167" s="78"/>
      <c r="AO167" s="78"/>
      <c r="AP167" s="78"/>
      <c r="AQ167" s="78"/>
      <c r="AR167" s="78"/>
      <c r="AS167" s="78"/>
      <c r="AT167" s="78"/>
    </row>
    <row r="168" spans="1:46" ht="15" customHeight="1" x14ac:dyDescent="0.25">
      <c r="A168" s="106"/>
      <c r="B168" s="110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78"/>
      <c r="N168" s="78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  <c r="AA168" s="78"/>
      <c r="AB168" s="78"/>
      <c r="AC168" s="78"/>
      <c r="AD168" s="78"/>
      <c r="AE168" s="78"/>
      <c r="AF168" s="78"/>
      <c r="AG168" s="78"/>
      <c r="AH168" s="78"/>
      <c r="AI168" s="78"/>
      <c r="AJ168" s="78"/>
      <c r="AK168" s="78"/>
      <c r="AL168" s="78"/>
      <c r="AM168" s="78"/>
      <c r="AN168" s="78"/>
      <c r="AO168" s="78"/>
      <c r="AP168" s="78"/>
      <c r="AQ168" s="78"/>
      <c r="AR168" s="78"/>
      <c r="AS168" s="78"/>
      <c r="AT168" s="78"/>
    </row>
    <row r="169" spans="1:46" ht="15" customHeight="1" x14ac:dyDescent="0.25">
      <c r="A169" s="106"/>
      <c r="B169" s="110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78"/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  <c r="AA169" s="78"/>
      <c r="AB169" s="78"/>
      <c r="AC169" s="78"/>
      <c r="AD169" s="78"/>
      <c r="AE169" s="78"/>
      <c r="AF169" s="78"/>
      <c r="AG169" s="78"/>
      <c r="AH169" s="78"/>
      <c r="AI169" s="78"/>
      <c r="AJ169" s="78"/>
      <c r="AK169" s="78"/>
      <c r="AL169" s="78"/>
      <c r="AM169" s="78"/>
      <c r="AN169" s="78"/>
      <c r="AO169" s="78"/>
      <c r="AP169" s="78"/>
      <c r="AQ169" s="78"/>
      <c r="AR169" s="78"/>
      <c r="AS169" s="78"/>
      <c r="AT169" s="78"/>
    </row>
    <row r="170" spans="1:46" ht="15" customHeight="1" x14ac:dyDescent="0.25">
      <c r="A170" s="106"/>
      <c r="B170" s="110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7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  <c r="AC170" s="78"/>
      <c r="AD170" s="78"/>
      <c r="AE170" s="78"/>
      <c r="AF170" s="78"/>
      <c r="AG170" s="78"/>
      <c r="AH170" s="78"/>
      <c r="AI170" s="78"/>
      <c r="AJ170" s="78"/>
      <c r="AK170" s="78"/>
      <c r="AL170" s="78"/>
      <c r="AM170" s="78"/>
      <c r="AN170" s="78"/>
      <c r="AO170" s="78"/>
      <c r="AP170" s="78"/>
      <c r="AQ170" s="78"/>
      <c r="AR170" s="78"/>
      <c r="AS170" s="78"/>
      <c r="AT170" s="78"/>
    </row>
    <row r="171" spans="1:46" ht="15" customHeight="1" x14ac:dyDescent="0.25">
      <c r="A171" s="106"/>
      <c r="B171" s="110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  <c r="AC171" s="78"/>
      <c r="AD171" s="78"/>
      <c r="AE171" s="78"/>
      <c r="AF171" s="78"/>
      <c r="AG171" s="78"/>
      <c r="AH171" s="78"/>
      <c r="AI171" s="78"/>
      <c r="AJ171" s="78"/>
      <c r="AK171" s="78"/>
      <c r="AL171" s="78"/>
      <c r="AM171" s="78"/>
      <c r="AN171" s="78"/>
      <c r="AO171" s="78"/>
      <c r="AP171" s="78"/>
      <c r="AQ171" s="78"/>
      <c r="AR171" s="78"/>
      <c r="AS171" s="78"/>
      <c r="AT171" s="78"/>
    </row>
    <row r="172" spans="1:46" ht="15" customHeight="1" x14ac:dyDescent="0.25">
      <c r="A172" s="106"/>
      <c r="B172" s="110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  <c r="AC172" s="78"/>
      <c r="AD172" s="78"/>
      <c r="AE172" s="78"/>
      <c r="AF172" s="78"/>
      <c r="AG172" s="78"/>
      <c r="AH172" s="78"/>
      <c r="AI172" s="78"/>
      <c r="AJ172" s="78"/>
      <c r="AK172" s="78"/>
      <c r="AL172" s="78"/>
      <c r="AM172" s="78"/>
      <c r="AN172" s="78"/>
      <c r="AO172" s="78"/>
      <c r="AP172" s="78"/>
      <c r="AQ172" s="78"/>
      <c r="AR172" s="78"/>
      <c r="AS172" s="78"/>
      <c r="AT172" s="78"/>
    </row>
    <row r="173" spans="1:46" ht="15" customHeight="1" x14ac:dyDescent="0.25">
      <c r="A173" s="105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  <c r="AC173" s="78"/>
      <c r="AD173" s="78"/>
      <c r="AE173" s="78"/>
      <c r="AF173" s="78"/>
      <c r="AG173" s="78"/>
      <c r="AH173" s="78"/>
      <c r="AI173" s="78"/>
      <c r="AJ173" s="78"/>
      <c r="AK173" s="78"/>
      <c r="AL173" s="78"/>
      <c r="AM173" s="78"/>
      <c r="AN173" s="78"/>
      <c r="AO173" s="78"/>
      <c r="AP173" s="78"/>
      <c r="AQ173" s="78"/>
      <c r="AR173" s="78"/>
      <c r="AS173" s="78"/>
      <c r="AT173" s="78"/>
    </row>
    <row r="174" spans="1:46" ht="15" customHeight="1" x14ac:dyDescent="0.25">
      <c r="A174" s="106"/>
      <c r="B174" s="110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  <c r="AC174" s="78"/>
      <c r="AD174" s="78"/>
      <c r="AE174" s="78"/>
      <c r="AF174" s="78"/>
      <c r="AG174" s="78"/>
      <c r="AH174" s="78"/>
      <c r="AI174" s="78"/>
      <c r="AJ174" s="78"/>
      <c r="AK174" s="78"/>
      <c r="AL174" s="78"/>
      <c r="AM174" s="78"/>
      <c r="AN174" s="78"/>
      <c r="AO174" s="78"/>
      <c r="AP174" s="78"/>
      <c r="AQ174" s="78"/>
      <c r="AR174" s="78"/>
      <c r="AS174" s="78"/>
      <c r="AT174" s="78"/>
    </row>
    <row r="175" spans="1:46" ht="15" customHeight="1" x14ac:dyDescent="0.25">
      <c r="A175" s="106"/>
      <c r="B175" s="110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  <c r="AA175" s="78"/>
      <c r="AB175" s="78"/>
      <c r="AC175" s="78"/>
      <c r="AD175" s="78"/>
      <c r="AE175" s="78"/>
      <c r="AF175" s="78"/>
      <c r="AG175" s="78"/>
      <c r="AH175" s="78"/>
      <c r="AI175" s="78"/>
      <c r="AJ175" s="78"/>
      <c r="AK175" s="78"/>
      <c r="AL175" s="78"/>
      <c r="AM175" s="78"/>
      <c r="AN175" s="78"/>
      <c r="AO175" s="78"/>
      <c r="AP175" s="78"/>
      <c r="AQ175" s="78"/>
      <c r="AR175" s="78"/>
      <c r="AS175" s="78"/>
      <c r="AT175" s="78"/>
    </row>
    <row r="176" spans="1:46" ht="15" customHeight="1" x14ac:dyDescent="0.25">
      <c r="A176" s="106"/>
      <c r="B176" s="110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  <c r="AA176" s="78"/>
      <c r="AB176" s="78"/>
      <c r="AC176" s="78"/>
      <c r="AD176" s="78"/>
      <c r="AE176" s="78"/>
      <c r="AF176" s="78"/>
      <c r="AG176" s="78"/>
      <c r="AH176" s="78"/>
      <c r="AI176" s="78"/>
      <c r="AJ176" s="78"/>
      <c r="AK176" s="78"/>
      <c r="AL176" s="78"/>
      <c r="AM176" s="78"/>
      <c r="AN176" s="78"/>
      <c r="AO176" s="78"/>
      <c r="AP176" s="78"/>
      <c r="AQ176" s="78"/>
      <c r="AR176" s="78"/>
      <c r="AS176" s="78"/>
      <c r="AT176" s="78"/>
    </row>
    <row r="177" spans="1:46" ht="15" customHeight="1" x14ac:dyDescent="0.25">
      <c r="A177" s="106"/>
      <c r="B177" s="110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7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  <c r="AC177" s="78"/>
      <c r="AD177" s="78"/>
      <c r="AE177" s="78"/>
      <c r="AF177" s="78"/>
      <c r="AG177" s="78"/>
      <c r="AH177" s="78"/>
      <c r="AI177" s="78"/>
      <c r="AJ177" s="78"/>
      <c r="AK177" s="78"/>
      <c r="AL177" s="78"/>
      <c r="AM177" s="78"/>
      <c r="AN177" s="78"/>
      <c r="AO177" s="78"/>
      <c r="AP177" s="78"/>
      <c r="AQ177" s="78"/>
      <c r="AR177" s="78"/>
      <c r="AS177" s="78"/>
      <c r="AT177" s="78"/>
    </row>
    <row r="178" spans="1:46" ht="15" customHeight="1" x14ac:dyDescent="0.25">
      <c r="A178" s="106"/>
      <c r="B178" s="110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7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  <c r="AC178" s="78"/>
      <c r="AD178" s="78"/>
      <c r="AE178" s="78"/>
      <c r="AF178" s="78"/>
      <c r="AG178" s="78"/>
      <c r="AH178" s="78"/>
      <c r="AI178" s="78"/>
      <c r="AJ178" s="78"/>
      <c r="AK178" s="78"/>
      <c r="AL178" s="78"/>
      <c r="AM178" s="78"/>
      <c r="AN178" s="78"/>
      <c r="AO178" s="78"/>
      <c r="AP178" s="78"/>
      <c r="AQ178" s="78"/>
      <c r="AR178" s="78"/>
      <c r="AS178" s="78"/>
      <c r="AT178" s="78"/>
    </row>
    <row r="179" spans="1:46" x14ac:dyDescent="0.25">
      <c r="A179" s="106"/>
      <c r="B179" s="110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78"/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  <c r="AA179" s="78"/>
      <c r="AB179" s="78"/>
      <c r="AC179" s="78"/>
      <c r="AD179" s="78"/>
      <c r="AE179" s="78"/>
      <c r="AF179" s="78"/>
      <c r="AG179" s="78"/>
      <c r="AH179" s="78"/>
      <c r="AI179" s="78"/>
      <c r="AJ179" s="78"/>
      <c r="AK179" s="78"/>
      <c r="AL179" s="78"/>
      <c r="AM179" s="78"/>
      <c r="AN179" s="78"/>
      <c r="AO179" s="78"/>
      <c r="AP179" s="78"/>
      <c r="AQ179" s="78"/>
      <c r="AR179" s="78"/>
      <c r="AS179" s="78"/>
      <c r="AT179" s="78"/>
    </row>
    <row r="180" spans="1:46" x14ac:dyDescent="0.25">
      <c r="A180" s="106"/>
      <c r="B180" s="110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7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  <c r="AC180" s="78"/>
      <c r="AD180" s="78"/>
      <c r="AE180" s="78"/>
      <c r="AF180" s="78"/>
      <c r="AG180" s="78"/>
      <c r="AH180" s="78"/>
      <c r="AI180" s="78"/>
      <c r="AJ180" s="78"/>
      <c r="AK180" s="78"/>
      <c r="AL180" s="78"/>
      <c r="AM180" s="78"/>
      <c r="AN180" s="78"/>
      <c r="AO180" s="78"/>
      <c r="AP180" s="78"/>
      <c r="AQ180" s="78"/>
      <c r="AR180" s="78"/>
      <c r="AS180" s="78"/>
      <c r="AT180" s="78"/>
    </row>
    <row r="181" spans="1:46" x14ac:dyDescent="0.25">
      <c r="A181" s="106"/>
      <c r="B181" s="110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  <c r="AC181" s="78"/>
      <c r="AD181" s="78"/>
      <c r="AE181" s="78"/>
      <c r="AF181" s="78"/>
      <c r="AG181" s="78"/>
      <c r="AH181" s="78"/>
      <c r="AI181" s="78"/>
      <c r="AJ181" s="78"/>
      <c r="AK181" s="78"/>
      <c r="AL181" s="78"/>
      <c r="AM181" s="78"/>
      <c r="AN181" s="78"/>
      <c r="AO181" s="78"/>
      <c r="AP181" s="78"/>
      <c r="AQ181" s="78"/>
      <c r="AR181" s="78"/>
      <c r="AS181" s="78"/>
      <c r="AT181" s="78"/>
    </row>
    <row r="182" spans="1:46" x14ac:dyDescent="0.25">
      <c r="A182" s="106"/>
      <c r="B182" s="110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  <c r="AC182" s="78"/>
      <c r="AD182" s="78"/>
      <c r="AE182" s="78"/>
      <c r="AF182" s="78"/>
      <c r="AG182" s="78"/>
      <c r="AH182" s="78"/>
      <c r="AI182" s="78"/>
      <c r="AJ182" s="78"/>
      <c r="AK182" s="78"/>
      <c r="AL182" s="78"/>
      <c r="AM182" s="78"/>
      <c r="AN182" s="78"/>
      <c r="AO182" s="78"/>
      <c r="AP182" s="78"/>
      <c r="AQ182" s="78"/>
      <c r="AR182" s="78"/>
      <c r="AS182" s="78"/>
      <c r="AT182" s="78"/>
    </row>
    <row r="183" spans="1:46" x14ac:dyDescent="0.25"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  <c r="AC183" s="78"/>
      <c r="AD183" s="78"/>
      <c r="AE183" s="78"/>
      <c r="AF183" s="78"/>
      <c r="AG183" s="78"/>
      <c r="AH183" s="78"/>
      <c r="AI183" s="78"/>
      <c r="AJ183" s="78"/>
      <c r="AK183" s="78"/>
      <c r="AL183" s="78"/>
      <c r="AM183" s="78"/>
      <c r="AN183" s="78"/>
      <c r="AO183" s="78"/>
      <c r="AP183" s="78"/>
      <c r="AQ183" s="78"/>
      <c r="AR183" s="78"/>
      <c r="AS183" s="78"/>
      <c r="AT183" s="78"/>
    </row>
    <row r="184" spans="1:46" x14ac:dyDescent="0.25"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  <c r="AK184" s="78"/>
      <c r="AL184" s="78"/>
      <c r="AM184" s="78"/>
      <c r="AN184" s="78"/>
      <c r="AO184" s="78"/>
      <c r="AP184" s="78"/>
      <c r="AQ184" s="78"/>
      <c r="AR184" s="78"/>
      <c r="AS184" s="78"/>
      <c r="AT184" s="78"/>
    </row>
    <row r="185" spans="1:46" x14ac:dyDescent="0.25"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8"/>
      <c r="V185" s="78"/>
      <c r="W185" s="78"/>
      <c r="X185" s="78"/>
      <c r="Y185" s="78"/>
      <c r="Z185" s="78"/>
      <c r="AA185" s="78"/>
      <c r="AB185" s="78"/>
      <c r="AC185" s="78"/>
      <c r="AD185" s="78"/>
      <c r="AE185" s="78"/>
      <c r="AF185" s="78"/>
      <c r="AG185" s="78"/>
      <c r="AH185" s="78"/>
      <c r="AI185" s="78"/>
      <c r="AJ185" s="78"/>
      <c r="AK185" s="78"/>
      <c r="AL185" s="78"/>
      <c r="AM185" s="78"/>
      <c r="AN185" s="78"/>
      <c r="AO185" s="78"/>
      <c r="AP185" s="78"/>
      <c r="AQ185" s="78"/>
      <c r="AR185" s="78"/>
      <c r="AS185" s="78"/>
      <c r="AT185" s="78"/>
    </row>
    <row r="186" spans="1:46" x14ac:dyDescent="0.25"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78"/>
      <c r="N186" s="78"/>
      <c r="O186" s="78"/>
      <c r="P186" s="78"/>
      <c r="Q186" s="78"/>
      <c r="R186" s="78"/>
      <c r="S186" s="78"/>
      <c r="T186" s="78"/>
      <c r="U186" s="78"/>
      <c r="V186" s="78"/>
      <c r="W186" s="78"/>
      <c r="X186" s="78"/>
      <c r="Y186" s="78"/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78"/>
      <c r="AK186" s="78"/>
      <c r="AL186" s="78"/>
      <c r="AM186" s="78"/>
      <c r="AN186" s="78"/>
      <c r="AO186" s="78"/>
      <c r="AP186" s="78"/>
      <c r="AQ186" s="78"/>
      <c r="AR186" s="78"/>
      <c r="AS186" s="78"/>
      <c r="AT186" s="78"/>
    </row>
  </sheetData>
  <mergeCells count="41">
    <mergeCell ref="BO65:BQ65"/>
    <mergeCell ref="C19:P19"/>
    <mergeCell ref="C65:P65"/>
    <mergeCell ref="BI19:BK19"/>
    <mergeCell ref="BL19:BN19"/>
    <mergeCell ref="BO19:BQ19"/>
    <mergeCell ref="AB65:AD65"/>
    <mergeCell ref="AE65:AG65"/>
    <mergeCell ref="AH65:AJ65"/>
    <mergeCell ref="AK65:AM65"/>
    <mergeCell ref="AN65:AP65"/>
    <mergeCell ref="AQ65:AS65"/>
    <mergeCell ref="AT65:AV65"/>
    <mergeCell ref="AW65:AY65"/>
    <mergeCell ref="AZ65:BB65"/>
    <mergeCell ref="BC65:BE65"/>
    <mergeCell ref="BF65:BH65"/>
    <mergeCell ref="BI65:BK65"/>
    <mergeCell ref="BL65:BN65"/>
    <mergeCell ref="Z19:AA19"/>
    <mergeCell ref="Z65:AA65"/>
    <mergeCell ref="AB19:AD19"/>
    <mergeCell ref="AE19:AG19"/>
    <mergeCell ref="AW19:AY19"/>
    <mergeCell ref="AZ19:BB19"/>
    <mergeCell ref="BC19:BE19"/>
    <mergeCell ref="BF19:BH19"/>
    <mergeCell ref="AH19:AJ19"/>
    <mergeCell ref="AK19:AM19"/>
    <mergeCell ref="AN19:AP19"/>
    <mergeCell ref="AQ19:AS19"/>
    <mergeCell ref="AT19:AV19"/>
    <mergeCell ref="R3:S3"/>
    <mergeCell ref="C111:E111"/>
    <mergeCell ref="C140:E140"/>
    <mergeCell ref="C2:P2"/>
    <mergeCell ref="C3:D3"/>
    <mergeCell ref="F3:G3"/>
    <mergeCell ref="I3:J3"/>
    <mergeCell ref="L3:M3"/>
    <mergeCell ref="O3:P3"/>
  </mergeCells>
  <phoneticPr fontId="20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EA9D8-6ABF-463D-B79B-E5BF772944EF}">
  <sheetPr codeName="Sheet4"/>
  <dimension ref="A2:CJ120"/>
  <sheetViews>
    <sheetView topLeftCell="C1" zoomScaleNormal="100" workbookViewId="0">
      <selection activeCell="AC5" sqref="AC5"/>
    </sheetView>
  </sheetViews>
  <sheetFormatPr defaultRowHeight="15" x14ac:dyDescent="0.25"/>
  <cols>
    <col min="1" max="2" width="9.140625" hidden="1" customWidth="1"/>
    <col min="3" max="3" width="3.28515625" customWidth="1"/>
    <col min="5" max="46" width="5.85546875" customWidth="1"/>
    <col min="47" max="51" width="6.42578125" customWidth="1"/>
    <col min="52" max="88" width="6.28515625" customWidth="1"/>
  </cols>
  <sheetData>
    <row r="2" spans="1:88" ht="23.25" thickBot="1" x14ac:dyDescent="0.35">
      <c r="A2" s="2" t="s">
        <v>12</v>
      </c>
      <c r="B2" s="2" t="s">
        <v>0</v>
      </c>
      <c r="E2" s="287" t="s">
        <v>71</v>
      </c>
      <c r="F2" s="287"/>
      <c r="G2" s="287"/>
      <c r="H2" s="287"/>
      <c r="I2" s="287"/>
      <c r="J2" s="287"/>
      <c r="K2" s="287" t="s">
        <v>73</v>
      </c>
      <c r="L2" s="287"/>
      <c r="M2" s="287"/>
      <c r="N2" s="287"/>
      <c r="O2" s="287"/>
      <c r="P2" s="287"/>
      <c r="Q2" s="287" t="s">
        <v>74</v>
      </c>
      <c r="R2" s="287"/>
      <c r="S2" s="287"/>
      <c r="T2" s="287"/>
      <c r="U2" s="287"/>
      <c r="V2" s="287"/>
      <c r="W2" s="287" t="s">
        <v>75</v>
      </c>
      <c r="X2" s="287"/>
      <c r="Y2" s="287"/>
      <c r="Z2" s="287"/>
      <c r="AA2" s="287"/>
      <c r="AB2" s="287"/>
      <c r="AC2" s="287" t="s">
        <v>76</v>
      </c>
      <c r="AD2" s="287"/>
      <c r="AE2" s="287"/>
      <c r="AF2" s="287"/>
      <c r="AG2" s="287"/>
      <c r="AH2" s="287"/>
      <c r="AI2" s="287" t="s">
        <v>77</v>
      </c>
      <c r="AJ2" s="287"/>
      <c r="AK2" s="287"/>
      <c r="AL2" s="287"/>
      <c r="AM2" s="287"/>
      <c r="AN2" s="287"/>
      <c r="AO2" s="287" t="s">
        <v>78</v>
      </c>
      <c r="AP2" s="287"/>
      <c r="AQ2" s="287"/>
      <c r="AR2" s="287"/>
      <c r="AS2" s="287"/>
      <c r="AT2" s="287"/>
      <c r="AU2" s="287" t="s">
        <v>79</v>
      </c>
      <c r="AV2" s="287"/>
      <c r="AW2" s="287"/>
      <c r="AX2" s="287"/>
      <c r="AY2" s="287"/>
      <c r="AZ2" s="287"/>
      <c r="BA2" s="287" t="s">
        <v>80</v>
      </c>
      <c r="BB2" s="287"/>
      <c r="BC2" s="287"/>
      <c r="BD2" s="287"/>
      <c r="BE2" s="287"/>
      <c r="BF2" s="287"/>
      <c r="BG2" s="287" t="s">
        <v>81</v>
      </c>
      <c r="BH2" s="287"/>
      <c r="BI2" s="287"/>
      <c r="BJ2" s="287"/>
      <c r="BK2" s="287"/>
      <c r="BL2" s="287"/>
      <c r="BM2" s="287" t="s">
        <v>82</v>
      </c>
      <c r="BN2" s="287"/>
      <c r="BO2" s="287"/>
      <c r="BP2" s="287"/>
      <c r="BQ2" s="287"/>
      <c r="BR2" s="287"/>
      <c r="BS2" s="287" t="s">
        <v>83</v>
      </c>
      <c r="BT2" s="287"/>
      <c r="BU2" s="287"/>
      <c r="BV2" s="287"/>
      <c r="BW2" s="287"/>
      <c r="BX2" s="287"/>
      <c r="BY2" s="287" t="s">
        <v>84</v>
      </c>
      <c r="BZ2" s="287"/>
      <c r="CA2" s="287"/>
      <c r="CB2" s="287"/>
      <c r="CC2" s="287"/>
      <c r="CD2" s="287"/>
      <c r="CE2" s="287" t="s">
        <v>85</v>
      </c>
      <c r="CF2" s="287"/>
      <c r="CG2" s="287"/>
      <c r="CH2" s="287"/>
      <c r="CI2" s="287"/>
      <c r="CJ2" s="287"/>
    </row>
    <row r="3" spans="1:88" ht="15.75" thickBot="1" x14ac:dyDescent="0.3">
      <c r="A3" s="2">
        <v>1</v>
      </c>
      <c r="B3" s="2">
        <v>3</v>
      </c>
      <c r="E3" s="283" t="s">
        <v>66</v>
      </c>
      <c r="F3" s="284"/>
      <c r="G3" s="284"/>
      <c r="H3" s="285" t="s">
        <v>67</v>
      </c>
      <c r="I3" s="284"/>
      <c r="J3" s="286"/>
      <c r="K3" s="283" t="s">
        <v>66</v>
      </c>
      <c r="L3" s="284"/>
      <c r="M3" s="284"/>
      <c r="N3" s="285" t="s">
        <v>67</v>
      </c>
      <c r="O3" s="284"/>
      <c r="P3" s="286"/>
      <c r="Q3" s="283" t="s">
        <v>66</v>
      </c>
      <c r="R3" s="284"/>
      <c r="S3" s="284"/>
      <c r="T3" s="285" t="s">
        <v>67</v>
      </c>
      <c r="U3" s="284"/>
      <c r="V3" s="286"/>
      <c r="W3" s="283" t="s">
        <v>66</v>
      </c>
      <c r="X3" s="284"/>
      <c r="Y3" s="284"/>
      <c r="Z3" s="285" t="s">
        <v>67</v>
      </c>
      <c r="AA3" s="284"/>
      <c r="AB3" s="286"/>
      <c r="AC3" s="283" t="s">
        <v>66</v>
      </c>
      <c r="AD3" s="284"/>
      <c r="AE3" s="284"/>
      <c r="AF3" s="285" t="s">
        <v>67</v>
      </c>
      <c r="AG3" s="284"/>
      <c r="AH3" s="286"/>
      <c r="AI3" s="283" t="s">
        <v>66</v>
      </c>
      <c r="AJ3" s="284"/>
      <c r="AK3" s="284"/>
      <c r="AL3" s="285" t="s">
        <v>67</v>
      </c>
      <c r="AM3" s="284"/>
      <c r="AN3" s="286"/>
      <c r="AO3" s="283" t="s">
        <v>66</v>
      </c>
      <c r="AP3" s="284"/>
      <c r="AQ3" s="284"/>
      <c r="AR3" s="285" t="s">
        <v>67</v>
      </c>
      <c r="AS3" s="284"/>
      <c r="AT3" s="286"/>
      <c r="AU3" s="283" t="s">
        <v>66</v>
      </c>
      <c r="AV3" s="284"/>
      <c r="AW3" s="284"/>
      <c r="AX3" s="285" t="s">
        <v>67</v>
      </c>
      <c r="AY3" s="284"/>
      <c r="AZ3" s="286"/>
      <c r="BA3" s="283" t="s">
        <v>66</v>
      </c>
      <c r="BB3" s="284"/>
      <c r="BC3" s="284"/>
      <c r="BD3" s="285" t="s">
        <v>67</v>
      </c>
      <c r="BE3" s="284"/>
      <c r="BF3" s="286"/>
      <c r="BG3" s="283" t="s">
        <v>66</v>
      </c>
      <c r="BH3" s="284"/>
      <c r="BI3" s="284"/>
      <c r="BJ3" s="285" t="s">
        <v>67</v>
      </c>
      <c r="BK3" s="284"/>
      <c r="BL3" s="286"/>
      <c r="BM3" s="283" t="s">
        <v>66</v>
      </c>
      <c r="BN3" s="284"/>
      <c r="BO3" s="284"/>
      <c r="BP3" s="285" t="s">
        <v>67</v>
      </c>
      <c r="BQ3" s="284"/>
      <c r="BR3" s="286"/>
      <c r="BS3" s="283" t="s">
        <v>66</v>
      </c>
      <c r="BT3" s="284"/>
      <c r="BU3" s="284"/>
      <c r="BV3" s="285" t="s">
        <v>67</v>
      </c>
      <c r="BW3" s="284"/>
      <c r="BX3" s="286"/>
      <c r="BY3" s="283" t="s">
        <v>66</v>
      </c>
      <c r="BZ3" s="284"/>
      <c r="CA3" s="284"/>
      <c r="CB3" s="285" t="s">
        <v>67</v>
      </c>
      <c r="CC3" s="284"/>
      <c r="CD3" s="286"/>
      <c r="CE3" s="283" t="s">
        <v>66</v>
      </c>
      <c r="CF3" s="284"/>
      <c r="CG3" s="284"/>
      <c r="CH3" s="285" t="s">
        <v>67</v>
      </c>
      <c r="CI3" s="284"/>
      <c r="CJ3" s="286"/>
    </row>
    <row r="4" spans="1:88" ht="15.75" thickBot="1" x14ac:dyDescent="0.3">
      <c r="A4" s="2">
        <v>2</v>
      </c>
      <c r="B4" s="2">
        <v>5</v>
      </c>
      <c r="D4" s="53" t="s">
        <v>72</v>
      </c>
      <c r="E4" s="57" t="s">
        <v>32</v>
      </c>
      <c r="F4" s="58" t="s">
        <v>0</v>
      </c>
      <c r="G4" s="59" t="s">
        <v>68</v>
      </c>
      <c r="H4" s="54" t="s">
        <v>69</v>
      </c>
      <c r="I4" s="55" t="s">
        <v>70</v>
      </c>
      <c r="J4" s="56" t="s">
        <v>68</v>
      </c>
      <c r="K4" s="57" t="s">
        <v>32</v>
      </c>
      <c r="L4" s="58" t="s">
        <v>0</v>
      </c>
      <c r="M4" s="59" t="s">
        <v>68</v>
      </c>
      <c r="N4" s="54" t="s">
        <v>69</v>
      </c>
      <c r="O4" s="55" t="s">
        <v>70</v>
      </c>
      <c r="P4" s="56" t="s">
        <v>68</v>
      </c>
      <c r="Q4" s="57" t="s">
        <v>32</v>
      </c>
      <c r="R4" s="58" t="s">
        <v>0</v>
      </c>
      <c r="S4" s="59" t="s">
        <v>68</v>
      </c>
      <c r="T4" s="54" t="s">
        <v>69</v>
      </c>
      <c r="U4" s="55" t="s">
        <v>70</v>
      </c>
      <c r="V4" s="56" t="s">
        <v>68</v>
      </c>
      <c r="W4" s="57" t="s">
        <v>32</v>
      </c>
      <c r="X4" s="58" t="s">
        <v>0</v>
      </c>
      <c r="Y4" s="59" t="s">
        <v>68</v>
      </c>
      <c r="Z4" s="54" t="s">
        <v>69</v>
      </c>
      <c r="AA4" s="55" t="s">
        <v>70</v>
      </c>
      <c r="AB4" s="56" t="s">
        <v>68</v>
      </c>
      <c r="AC4" s="57" t="s">
        <v>32</v>
      </c>
      <c r="AD4" s="58" t="s">
        <v>0</v>
      </c>
      <c r="AE4" s="59" t="s">
        <v>68</v>
      </c>
      <c r="AF4" s="54" t="s">
        <v>69</v>
      </c>
      <c r="AG4" s="55" t="s">
        <v>70</v>
      </c>
      <c r="AH4" s="56" t="s">
        <v>68</v>
      </c>
      <c r="AI4" s="57" t="s">
        <v>32</v>
      </c>
      <c r="AJ4" s="58" t="s">
        <v>0</v>
      </c>
      <c r="AK4" s="59" t="s">
        <v>68</v>
      </c>
      <c r="AL4" s="54" t="s">
        <v>69</v>
      </c>
      <c r="AM4" s="55" t="s">
        <v>70</v>
      </c>
      <c r="AN4" s="56" t="s">
        <v>68</v>
      </c>
      <c r="AO4" s="57" t="s">
        <v>32</v>
      </c>
      <c r="AP4" s="58" t="s">
        <v>0</v>
      </c>
      <c r="AQ4" s="59" t="s">
        <v>68</v>
      </c>
      <c r="AR4" s="54" t="s">
        <v>69</v>
      </c>
      <c r="AS4" s="55" t="s">
        <v>70</v>
      </c>
      <c r="AT4" s="56" t="s">
        <v>68</v>
      </c>
      <c r="AU4" s="57" t="s">
        <v>32</v>
      </c>
      <c r="AV4" s="58" t="s">
        <v>0</v>
      </c>
      <c r="AW4" s="59" t="s">
        <v>68</v>
      </c>
      <c r="AX4" s="54" t="s">
        <v>32</v>
      </c>
      <c r="AY4" s="55" t="s">
        <v>0</v>
      </c>
      <c r="AZ4" s="56" t="s">
        <v>68</v>
      </c>
      <c r="BA4" s="57" t="s">
        <v>32</v>
      </c>
      <c r="BB4" s="58" t="s">
        <v>0</v>
      </c>
      <c r="BC4" s="59" t="s">
        <v>68</v>
      </c>
      <c r="BD4" s="57" t="s">
        <v>32</v>
      </c>
      <c r="BE4" s="58" t="s">
        <v>0</v>
      </c>
      <c r="BF4" s="59" t="s">
        <v>68</v>
      </c>
      <c r="BG4" s="57" t="s">
        <v>32</v>
      </c>
      <c r="BH4" s="58" t="s">
        <v>0</v>
      </c>
      <c r="BI4" s="59" t="s">
        <v>68</v>
      </c>
      <c r="BJ4" s="57" t="s">
        <v>32</v>
      </c>
      <c r="BK4" s="58" t="s">
        <v>0</v>
      </c>
      <c r="BL4" s="59" t="s">
        <v>68</v>
      </c>
      <c r="BM4" s="57" t="s">
        <v>32</v>
      </c>
      <c r="BN4" s="58" t="s">
        <v>0</v>
      </c>
      <c r="BO4" s="59" t="s">
        <v>68</v>
      </c>
      <c r="BP4" s="57" t="s">
        <v>32</v>
      </c>
      <c r="BQ4" s="58" t="s">
        <v>0</v>
      </c>
      <c r="BR4" s="59" t="s">
        <v>68</v>
      </c>
      <c r="BS4" s="57" t="s">
        <v>32</v>
      </c>
      <c r="BT4" s="58" t="s">
        <v>0</v>
      </c>
      <c r="BU4" s="59" t="s">
        <v>68</v>
      </c>
      <c r="BV4" s="57" t="s">
        <v>32</v>
      </c>
      <c r="BW4" s="58" t="s">
        <v>0</v>
      </c>
      <c r="BX4" s="59" t="s">
        <v>68</v>
      </c>
      <c r="BY4" s="57" t="s">
        <v>32</v>
      </c>
      <c r="BZ4" s="58" t="s">
        <v>0</v>
      </c>
      <c r="CA4" s="59" t="s">
        <v>68</v>
      </c>
      <c r="CB4" s="57" t="s">
        <v>32</v>
      </c>
      <c r="CC4" s="58" t="s">
        <v>0</v>
      </c>
      <c r="CD4" s="59" t="s">
        <v>68</v>
      </c>
      <c r="CE4" s="57" t="s">
        <v>32</v>
      </c>
      <c r="CF4" s="58" t="s">
        <v>0</v>
      </c>
      <c r="CG4" s="59" t="s">
        <v>68</v>
      </c>
      <c r="CH4" s="57" t="s">
        <v>32</v>
      </c>
      <c r="CI4" s="58" t="s">
        <v>0</v>
      </c>
      <c r="CJ4" s="59" t="s">
        <v>68</v>
      </c>
    </row>
    <row r="5" spans="1:88" x14ac:dyDescent="0.25">
      <c r="A5" s="2">
        <v>4</v>
      </c>
      <c r="B5" s="2">
        <v>8</v>
      </c>
      <c r="D5" s="52">
        <v>1</v>
      </c>
      <c r="E5" s="61">
        <f>SUM('FU Distribution'!AB67:$AB$109)+IF('FU Distribution'!$D$112=1,'FU Distribution'!$D$114,0)</f>
        <v>34.300000000000004</v>
      </c>
      <c r="F5" s="98">
        <f>FORECAST(E5,INDEX($B$3:$B$45,MATCH(E5,$A$3:$A$45,1)):INDEX($B$3:$B$45,MATCH(E5,$A$3:$A$45,1)+1),INDEX($A$3:$A$45,MATCH(E5,$A$3:$A$45,1)):INDEX($A$3:$A$45,MATCH(E5,$A$3:$A$45,1)+1))</f>
        <v>24.547000000000004</v>
      </c>
      <c r="G5" s="99">
        <f>IF(AND(F5&lt;=750,F5&gt;250),6,IF(AND(F5&lt;=250,F5&gt;120),4,IF(AND(F5&lt;=120,F5&gt;75),3,IF(AND(F5&lt;=75,F5&gt;40),2.5,IF(AND(F5&lt;=40,F5&gt;20),2,IF(AND(F5&lt;=20,F5&gt;14),1.5,IF(AND(F5&lt;=14,F5&gt;7),1.25,IF(AND(F5&lt;=7,F5&gt;3.5),1,IF(AND(F5&lt;=3.5,F5&gt;1.7),0.75,IF(AND(F5&lt;=1.7,F5&gt;0),0.5))))))))))</f>
        <v>2</v>
      </c>
      <c r="H5" s="61">
        <f>SUM('FU Distribution'!AC67:$AC$109)</f>
        <v>30.5</v>
      </c>
      <c r="I5" s="98">
        <f>FORECAST(H5,INDEX($B$3:$B$45,MATCH(H5,$A$3:$A$45,1)):INDEX($B$3:$B$45,MATCH(H5,$A$3:$A$45,1)+1),INDEX($A$3:$A$45,MATCH(H5,$A$3:$A$45,1)):INDEX($A$3:$A$45,MATCH(H5,$A$3:$A$45,1)+1))</f>
        <v>23.445</v>
      </c>
      <c r="J5" s="99">
        <f>IF(AND(I5&lt;=750,I5&gt;250),6,IF(AND(I5&lt;=250,I5&gt;120),4,IF(AND(I5&lt;=120,I5&gt;75),3,IF(AND(I5&lt;=75,I5&gt;40),2.5,IF(AND(I5&lt;=40,I5&gt;20),2,IF(AND(I5&lt;=20,I5&gt;14),1.5,IF(AND(I5&lt;=14,I5&gt;7),1.25,IF(AND(I5&lt;=7,I5&gt;3.5),1,IF(AND(I5&lt;=3.5,I5&gt;1.7),0.75,IF(AND(I5&lt;=1.7,I5&gt;0),0.5))))))))))</f>
        <v>2</v>
      </c>
      <c r="K5" s="75">
        <f>SUM('FU Distribution'!AE67:$AE$109)+IF('FU Distribution'!$D$112=2,'FU Distribution'!$D$114,0)</f>
        <v>23.5</v>
      </c>
      <c r="L5" s="100">
        <f>FORECAST(K5,INDEX($B$3:$B$45,MATCH(K5,$A$3:$A$45,1)):INDEX($B$3:$B$45,MATCH(K5,$A$3:$A$45,1)+1),INDEX($A$3:$A$45,MATCH(K5,$A$3:$A$45,1)):INDEX($A$3:$A$45,MATCH(K5,$A$3:$A$45,1)+1))</f>
        <v>20.786666666666665</v>
      </c>
      <c r="M5" s="101">
        <f>IF(AND(L5&lt;=750,L5&gt;250),6,IF(AND(L5&lt;=250,L5&gt;120),4,IF(AND(L5&lt;=120,L5&gt;75),3,IF(AND(L5&lt;=75,L5&gt;40),2.5,IF(AND(L5&lt;=40,L5&gt;20),2,IF(AND(L5&lt;=20,L5&gt;14),1.5,IF(AND(L5&lt;=14,L5&gt;7),1.25,IF(AND(L5&lt;=7,L5&gt;3.5),1,IF(AND(L5&lt;=3.5,L5&gt;1.7),0.75,IF(AND(L5&lt;=1.7,L5&gt;0),0.5))))))))))</f>
        <v>2</v>
      </c>
      <c r="N5" s="75">
        <f>SUM('FU Distribution'!AF67:$AF$109)</f>
        <v>24.5</v>
      </c>
      <c r="O5" s="100">
        <f>FORECAST(N5,INDEX($B$3:$B$45,MATCH(N5,$A$3:$A$45,1)):INDEX($B$3:$B$45,MATCH(N5,$A$3:$A$45,1)+1),INDEX($A$3:$A$45,MATCH(N5,$A$3:$A$45,1)):INDEX($A$3:$A$45,MATCH(N5,$A$3:$A$45,1)+1))</f>
        <v>21.173333333333332</v>
      </c>
      <c r="P5" s="101">
        <f>IF(AND(O5&lt;=750,O5&gt;250),6,IF(AND(O5&lt;=250,O5&gt;120),4,IF(AND(O5&lt;=120,O5&gt;75),3,IF(AND(O5&lt;=75,O5&gt;40),2.5,IF(AND(O5&lt;=40,O5&gt;20),2,IF(AND(O5&lt;=20,O5&gt;14),1.5,IF(AND(O5&lt;=14,O5&gt;7),1.25,IF(AND(O5&lt;=7,O5&gt;3.5),1,IF(AND(O5&lt;=3.5,O5&gt;1.7),0.75,IF(AND(O5&lt;=1.7,O5&gt;0),0.5))))))))))</f>
        <v>2</v>
      </c>
      <c r="Q5" s="61">
        <f>SUM('FU Distribution'!AH67:$AH$109)+IF('FU Distribution'!$D$112=3,'FU Distribution'!$D$114,0)</f>
        <v>23.5</v>
      </c>
      <c r="R5" s="98">
        <f>FORECAST(Q5,INDEX($B$3:$B$45,MATCH(Q5,$A$3:$A$45,1)):INDEX($B$3:$B$45,MATCH(Q5,$A$3:$A$45,1)+1),INDEX($A$3:$A$45,MATCH(Q5,$A$3:$A$45,1)):INDEX($A$3:$A$45,MATCH(Q5,$A$3:$A$45,1)+1))</f>
        <v>20.786666666666665</v>
      </c>
      <c r="S5" s="99">
        <f>IF(AND(R5&lt;=750,R5&gt;250),6,IF(AND(R5&lt;=250,R5&gt;120),4,IF(AND(R5&lt;=120,R5&gt;75),3,IF(AND(R5&lt;=75,R5&gt;40),2.5,IF(AND(R5&lt;=40,R5&gt;20),2,IF(AND(R5&lt;=20,R5&gt;14),1.5,IF(AND(R5&lt;=14,R5&gt;7),1.25,IF(AND(R5&lt;=7,R5&gt;3.5),1,IF(AND(R5&lt;=3.5,R5&gt;1.7),0.75,IF(AND(R5&lt;=1.7,R5&gt;0),0.5))))))))))</f>
        <v>2</v>
      </c>
      <c r="T5" s="61">
        <f>SUM('FU Distribution'!AI67:$AI$109)</f>
        <v>24.5</v>
      </c>
      <c r="U5" s="98">
        <f>FORECAST(T5,INDEX($B$3:$B$45,MATCH(T5,$A$3:$A$45,1)):INDEX($B$3:$B$45,MATCH(T5,$A$3:$A$45,1)+1),INDEX($A$3:$A$45,MATCH(T5,$A$3:$A$45,1)):INDEX($A$3:$A$45,MATCH(T5,$A$3:$A$45,1)+1))</f>
        <v>21.173333333333332</v>
      </c>
      <c r="V5" s="99">
        <f t="shared" ref="V5:V45" si="0">IF(AND(U5&lt;=750,U5&gt;250),6,IF(AND(U5&lt;=250,U5&gt;120),4,IF(AND(U5&lt;=120,U5&gt;75),3,IF(AND(U5&lt;=75,U5&gt;40),2.5,IF(AND(U5&lt;=40,U5&gt;20),2,IF(AND(U5&lt;=20,U5&gt;14),1.5,IF(AND(U5&lt;=14,U5&gt;7),1.25,IF(AND(U5&lt;=7,U5&gt;3.5),1,IF(AND(U5&lt;=3.5,U5&gt;1.7),0.75,IF(AND(U5&lt;=1.7,U5&gt;0),0.5))))))))))</f>
        <v>2</v>
      </c>
      <c r="W5" s="75">
        <f>SUM('FU Distribution'!AK67:$AK$109)+IF('FU Distribution'!$D$112=4,'FU Distribution'!$D$114,0)</f>
        <v>23.5</v>
      </c>
      <c r="X5" s="100">
        <f>FORECAST(W5,INDEX($B$3:$B$45,MATCH(W5,$A$3:$A$45,1)):INDEX($B$3:$B$45,MATCH(W5,$A$3:$A$45,1)+1),INDEX($A$3:$A$45,MATCH(W5,$A$3:$A$45,1)):INDEX($A$3:$A$45,MATCH(W5,$A$3:$A$45,1)+1))</f>
        <v>20.786666666666665</v>
      </c>
      <c r="Y5" s="101">
        <f t="shared" ref="Y5:Y45" si="1">IF(AND(X5&lt;=750,X5&gt;250),6,IF(AND(X5&lt;=250,X5&gt;120),4,IF(AND(X5&lt;=120,X5&gt;75),3,IF(AND(X5&lt;=75,X5&gt;40),2.5,IF(AND(X5&lt;=40,X5&gt;20),2,IF(AND(X5&lt;=20,X5&gt;14),1.5,IF(AND(X5&lt;=14,X5&gt;7),1.25,IF(AND(X5&lt;=7,X5&gt;3.5),1,IF(AND(X5&lt;=3.5,X5&gt;1.7),0.75,IF(AND(X5&lt;=1.7,X5&gt;0),0.5))))))))))</f>
        <v>2</v>
      </c>
      <c r="Z5" s="75">
        <f>SUM('FU Distribution'!AL67:$AL$109)</f>
        <v>24.5</v>
      </c>
      <c r="AA5" s="100">
        <f>FORECAST(Z5,INDEX($B$3:$B$45,MATCH(Z5,$A$3:$A$45,1)):INDEX($B$3:$B$45,MATCH(Z5,$A$3:$A$45,1)+1),INDEX($A$3:$A$45,MATCH(Z5,$A$3:$A$45,1)):INDEX($A$3:$A$45,MATCH(Z5,$A$3:$A$45,1)+1))</f>
        <v>21.173333333333332</v>
      </c>
      <c r="AB5" s="101">
        <f>IF(AND(AA5&lt;=750,AA5&gt;250),6,IF(AND(AA5&lt;=250,AA5&gt;120),4,IF(AND(AA5&lt;=120,AA5&gt;75),3,IF(AND(AA5&lt;=75,AA5&gt;40),2.5,IF(AND(AA5&lt;=40,AA5&gt;20),2,IF(AND(AA5&lt;=20,AA5&gt;14),1.5,IF(AND(AA5&lt;=14,AA5&gt;7),1.25,IF(AND(AA5&lt;=7,AA5&gt;3.5),1,IF(AND(AA5&lt;=3.5,AA5&gt;1.7),0.75,IF(AND(AA5&lt;=1.7,AA5&gt;0),0.5))))))))))</f>
        <v>2</v>
      </c>
      <c r="AC5" s="61">
        <f>SUM('FU Distribution'!AN67:$AN$109)+IF('FU Distribution'!$D$112=5,'FU Distribution'!$D$114,0)</f>
        <v>18.8</v>
      </c>
      <c r="AD5" s="98">
        <f>FORECAST(AC5,INDEX($B$3:$B$45,MATCH(AC5,$A$3:$A$45,1)):INDEX($B$3:$B$45,MATCH(AC5,$A$3:$A$45,1)+1),INDEX($A$3:$A$45,MATCH(AC5,$A$3:$A$45,1)):INDEX($A$3:$A$45,MATCH(AC5,$A$3:$A$45,1)+1))</f>
        <v>18.969333333333331</v>
      </c>
      <c r="AE5" s="99">
        <f>IF(AND(AD5&lt;=750,AD5&gt;250),6,IF(AND(AD5&lt;=250,AD5&gt;120),4,IF(AND(AD5&lt;=120,AD5&gt;75),3,IF(AND(AD5&lt;=75,AD5&gt;40),2.5,IF(AND(AD5&lt;=40,AD5&gt;20),2,IF(AND(AD5&lt;=20,AD5&gt;14),1.5,IF(AND(AD5&lt;=14,AD5&gt;7),1.25,IF(AND(AD5&lt;=7,AD5&gt;3.5),1,IF(AND(AD5&lt;=3.5,AD5&gt;1.7),0.75,IF(AND(AD5&lt;=1.7,AD5&gt;0),0.5))))))))))</f>
        <v>1.5</v>
      </c>
      <c r="AF5" s="61">
        <f>SUM('FU Distribution'!AO67:$AO$109)</f>
        <v>19.600000000000001</v>
      </c>
      <c r="AG5" s="98">
        <f>FORECAST(AF5,INDEX($B$3:$B$45,MATCH(AF5,$A$3:$A$45,1)):INDEX($B$3:$B$45,MATCH(AF5,$A$3:$A$45,1)+1),INDEX($A$3:$A$45,MATCH(AF5,$A$3:$A$45,1)):INDEX($A$3:$A$45,MATCH(AF5,$A$3:$A$45,1)+1))</f>
        <v>19.278666666666666</v>
      </c>
      <c r="AH5" s="99">
        <f>IF(AND(AG5&lt;=750,AG5&gt;250),6,IF(AND(AG5&lt;=250,AG5&gt;120),4,IF(AND(AG5&lt;=120,AG5&gt;75),3,IF(AND(AG5&lt;=75,AG5&gt;40),2.5,IF(AND(AG5&lt;=40,AG5&gt;20),2,IF(AND(AG5&lt;=20,AG5&gt;14),1.5,IF(AND(AG5&lt;=14,AG5&gt;7),1.25,IF(AND(AG5&lt;=7,AG5&gt;3.5),1,IF(AND(AG5&lt;=3.5,AG5&gt;1.7),0.75,IF(AND(AG5&lt;=1.7,AG5&gt;0),0.5))))))))))</f>
        <v>1.5</v>
      </c>
      <c r="AI5" s="75">
        <f>SUM('FU Distribution'!AQ67:$AQ$109)+IF('FU Distribution'!$D$112=6,'FU Distribution'!$D$114,0)</f>
        <v>21.5</v>
      </c>
      <c r="AJ5" s="100">
        <f>FORECAST(AI5,INDEX($B$3:$B$45,MATCH(AI5,$A$3:$A$45,1)):INDEX($B$3:$B$45,MATCH(AI5,$A$3:$A$45,1)+1),INDEX($A$3:$A$45,MATCH(AI5,$A$3:$A$45,1)):INDEX($A$3:$A$45,MATCH(AI5,$A$3:$A$45,1)+1))</f>
        <v>20.013333333333332</v>
      </c>
      <c r="AK5" s="101">
        <f>IF(AND(AJ5&lt;=750,AJ5&gt;250),6,IF(AND(AJ5&lt;=250,AJ5&gt;120),4,IF(AND(AJ5&lt;=120,AJ5&gt;75),3,IF(AND(AJ5&lt;=75,AJ5&gt;40),2.5,IF(AND(AJ5&lt;=40,AJ5&gt;20),2,IF(AND(AJ5&lt;=20,AJ5&gt;14),1.5,IF(AND(AJ5&lt;=14,AJ5&gt;7),1.25,IF(AND(AJ5&lt;=7,AJ5&gt;3.5),1,IF(AND(AJ5&lt;=3.5,AJ5&gt;1.7),0.75,IF(AND(AJ5&lt;=1.7,AJ5&gt;0),0.5))))))))))</f>
        <v>2</v>
      </c>
      <c r="AL5" s="75">
        <f>SUM('FU Distribution'!AR67:$AR$109)</f>
        <v>20.100000000000001</v>
      </c>
      <c r="AM5" s="100">
        <f>FORECAST(AL5,INDEX($B$3:$B$45,MATCH(AL5,$A$3:$A$45,1)):INDEX($B$3:$B$45,MATCH(AL5,$A$3:$A$45,1)+1),INDEX($A$3:$A$45,MATCH(AL5,$A$3:$A$45,1)):INDEX($A$3:$A$45,MATCH(AL5,$A$3:$A$45,1)+1))</f>
        <v>19.472000000000001</v>
      </c>
      <c r="AN5" s="101">
        <f>IF(AND(AM5&lt;=750,AM5&gt;250),6,IF(AND(AM5&lt;=250,AM5&gt;120),4,IF(AND(AM5&lt;=120,AM5&gt;75),3,IF(AND(AM5&lt;=75,AM5&gt;40),2.5,IF(AND(AM5&lt;=40,AM5&gt;20),2,IF(AND(AM5&lt;=20,AM5&gt;14),1.5,IF(AND(AM5&lt;=14,AM5&gt;7),1.25,IF(AND(AM5&lt;=7,AM5&gt;3.5),1,IF(AND(AM5&lt;=3.5,AM5&gt;1.7),0.75,IF(AND(AM5&lt;=1.7,AM5&gt;0),0.5))))))))))</f>
        <v>1.5</v>
      </c>
      <c r="AO5" s="61">
        <f>SUM('FU Distribution'!AT67:$AT$109)+IF('FU Distribution'!$D$112=7,'FU Distribution'!$D$114,0)</f>
        <v>18.8</v>
      </c>
      <c r="AP5" s="98">
        <f>FORECAST(AO5,INDEX($B$3:$B$45,MATCH(AO5,$A$3:$A$45,1)):INDEX($B$3:$B$45,MATCH(AO5,$A$3:$A$45,1)+1),INDEX($A$3:$A$45,MATCH(AO5,$A$3:$A$45,1)):INDEX($A$3:$A$45,MATCH(AO5,$A$3:$A$45,1)+1))</f>
        <v>18.969333333333331</v>
      </c>
      <c r="AQ5" s="99">
        <f>IF(AND(AP5&lt;=750,AP5&gt;250),6,IF(AND(AP5&lt;=250,AP5&gt;120),4,IF(AND(AP5&lt;=120,AP5&gt;75),3,IF(AND(AP5&lt;=75,AP5&gt;40),2.5,IF(AND(AP5&lt;=40,AP5&gt;20),2,IF(AND(AP5&lt;=20,AP5&gt;14),1.5,IF(AND(AP5&lt;=14,AP5&gt;7),1.25,IF(AND(AP5&lt;=7,AP5&gt;3.5),1,IF(AND(AP5&lt;=3.5,AP5&gt;1.7),0.75,IF(AND(AP5&lt;=1.7,AP5&gt;0),0.5))))))))))</f>
        <v>1.5</v>
      </c>
      <c r="AR5" s="61">
        <f>SUM('FU Distribution'!AU67:$AU$109)</f>
        <v>19.600000000000001</v>
      </c>
      <c r="AS5" s="98">
        <f>FORECAST(AR5,INDEX($B$3:$B$45,MATCH(AR5,$A$3:$A$45,1)):INDEX($B$3:$B$45,MATCH(AR5,$A$3:$A$45,1)+1),INDEX($A$3:$A$45,MATCH(AR5,$A$3:$A$45,1)):INDEX($A$3:$A$45,MATCH(AR5,$A$3:$A$45,1)+1))</f>
        <v>19.278666666666666</v>
      </c>
      <c r="AT5" s="99">
        <f>IF(AND(AS5&lt;=750,AS5&gt;250),6,IF(AND(AS5&lt;=250,AS5&gt;120),4,IF(AND(AS5&lt;=120,AS5&gt;75),3,IF(AND(AS5&lt;=75,AS5&gt;40),2.5,IF(AND(AS5&lt;=40,AS5&gt;20),2,IF(AND(AS5&lt;=20,AS5&gt;14),1.5,IF(AND(AS5&lt;=14,AS5&gt;7),1.25,IF(AND(AS5&lt;=7,AS5&gt;3.5),1,IF(AND(AS5&lt;=3.5,AS5&gt;1.7),0.75,IF(AND(AS5&lt;=1.7,AS5&gt;0),0.5))))))))))</f>
        <v>1.5</v>
      </c>
      <c r="AU5" s="61">
        <f>SUM('FU Distribution'!AW67:$AW$109)+IF('FU Distribution'!$D$112=8,'FU Distribution'!$D$114,0)</f>
        <v>18.8</v>
      </c>
      <c r="AV5" s="98">
        <f>FORECAST(AU5,INDEX($B$3:$B$45,MATCH(AU5,$A$3:$A$45,1)):INDEX($B$3:$B$45,MATCH(AU5,$A$3:$A$45,1)+1),INDEX($A$3:$A$45,MATCH(AU5,$A$3:$A$45,1)):INDEX($A$3:$A$45,MATCH(AU5,$A$3:$A$45,1)+1))</f>
        <v>18.969333333333331</v>
      </c>
      <c r="AW5" s="99">
        <f>IF(AND(AV5&lt;=750,AV5&gt;250),6,IF(AND(AV5&lt;=250,AV5&gt;120),4,IF(AND(AV5&lt;=120,AV5&gt;75),3,IF(AND(AV5&lt;=75,AV5&gt;40),2.5,IF(AND(AV5&lt;=40,AV5&gt;20),2,IF(AND(AV5&lt;=20,AV5&gt;14),1.5,IF(AND(AV5&lt;=14,AV5&gt;7),1.25,IF(AND(AV5&lt;=7,AV5&gt;3.5),1,IF(AND(AV5&lt;=3.5,AV5&gt;1.7),0.75,IF(AND(AV5&lt;=1.7,AV5&gt;0),0.5))))))))))</f>
        <v>1.5</v>
      </c>
      <c r="AX5" s="61">
        <f>SUM('FU Distribution'!AX67:$AX$109)</f>
        <v>19.600000000000001</v>
      </c>
      <c r="AY5" s="98">
        <f>FORECAST(AX5,INDEX($B$3:$B$45,MATCH(AX5,$A$3:$A$45,1)):INDEX($B$3:$B$45,MATCH(AX5,$A$3:$A$45,1)+1),INDEX($A$3:$A$45,MATCH(AX5,$A$3:$A$45,1)):INDEX($A$3:$A$45,MATCH(AX5,$A$3:$A$45,1)+1))</f>
        <v>19.278666666666666</v>
      </c>
      <c r="AZ5" s="99">
        <f>IF(AND(AY5&lt;=750,AY5&gt;250),6,IF(AND(AY5&lt;=250,AY5&gt;120),4,IF(AND(AY5&lt;=120,AY5&gt;75),3,IF(AND(AY5&lt;=75,AY5&gt;40),2.5,IF(AND(AY5&lt;=40,AY5&gt;20),2,IF(AND(AY5&lt;=20,AY5&gt;14),1.5,IF(AND(AY5&lt;=14,AY5&gt;7),1.25,IF(AND(AY5&lt;=7,AY5&gt;3.5),1,IF(AND(AY5&lt;=3.5,AY5&gt;1.7),0.75,IF(AND(AY5&lt;=1.7,AY5&gt;0),0.5))))))))))</f>
        <v>1.5</v>
      </c>
      <c r="BA5" s="75">
        <f>SUM('FU Distribution'!AZ67:$AZ$109)+IF('FU Distribution'!$D$112=9,'FU Distribution'!$D$114,0)</f>
        <v>23.5</v>
      </c>
      <c r="BB5" s="76">
        <f>FORECAST((SUM(BA5:BA1000)),INDEX($B$3:$B$45,MATCH((SUM(BA5:BA1000)),$A$3:$A$45,1)):INDEX($B$3:$B$45,MATCH((SUM(BA5:BA1000)),$A$3:$A$45,1)+1),INDEX($A$3:$A$45,MATCH((SUM(BA5:BA1000)),$A$3:$A$45,1)):INDEX($A$3:$A$45,MATCH((SUM(BA5:BA1000)),$A$3:$A$45,1)+1))</f>
        <v>37.15</v>
      </c>
      <c r="BC5" s="77">
        <f>IF(AND(BB5&lt;=750,BB5&gt;250),6,IF(AND(BB5&lt;=250,BB5&gt;120),4,IF(AND(BB5&lt;=120,BB5&gt;75),3,IF(AND(BB5&lt;=75,BB5&gt;40),2.5,IF(AND(BB5&lt;=40,BB5&gt;20),2,IF(AND(BB5&lt;=20,BB5&gt;14),1.5,IF(AND(BB5&lt;=14,BB5&gt;7),1.25,IF(AND(BB5&lt;=7,BB5&gt;3.5),1,IF(AND(BB5&lt;=3.5,BB5&gt;1.7),0.75,IF(AND(BB5&lt;=1.7,BB5&gt;0),0.5))))))))))</f>
        <v>2</v>
      </c>
      <c r="BD5" s="75">
        <f>SUM('FU Distribution'!BA67:$BA$109)</f>
        <v>24.5</v>
      </c>
      <c r="BE5" s="76">
        <f>FORECAST((SUM(BD5:BD1000)),INDEX($B$3:$B$45,MATCH((SUM(BD5:BD1000)),$A$3:$A$45,1)):INDEX($B$3:$B$45,MATCH((SUM(BD5:BD1000)),$A$3:$A$45,1)+1),INDEX($A$3:$A$45,MATCH((SUM(BD5:BD1000)),$A$3:$A$45,1)):INDEX($A$3:$A$45,MATCH((SUM(BD5:BD1000)),$A$3:$A$45,1)+1))</f>
        <v>38.050000000000004</v>
      </c>
      <c r="BF5" s="77">
        <f>IF(AND(BE5&lt;=750,BE5&gt;250),6,IF(AND(BE5&lt;=250,BE5&gt;120),4,IF(AND(BE5&lt;=120,BE5&gt;75),3,IF(AND(BE5&lt;=75,BE5&gt;40),2.5,IF(AND(BE5&lt;=40,BE5&gt;20),2,IF(AND(BE5&lt;=20,BE5&gt;14),1.5,IF(AND(BE5&lt;=14,BE5&gt;7),1.25,IF(AND(BE5&lt;=7,BE5&gt;3.5),1,IF(AND(BE5&lt;=3.5,BE5&gt;1.7),0.75,IF(AND(BE5&lt;=1.7,BE5&gt;0),0.5))))))))))</f>
        <v>2</v>
      </c>
      <c r="BG5" s="61">
        <f>SUM('FU Distribution'!BC67:$BC$109)+IF('FU Distribution'!$D$112=10,'FU Distribution'!$D$114,0)</f>
        <v>37</v>
      </c>
      <c r="BH5" s="62">
        <f>FORECAST((SUM(BG5:BG1000)),INDEX($B$3:$B$45,MATCH((SUM(BG5:BG1000)),$A$3:$A$45,1)):INDEX($B$3:$B$45,MATCH((SUM(BG5:BG1000)),$A$3:$A$45,1)+1),INDEX($A$3:$A$45,MATCH((SUM(BG5:BG1000)),$A$3:$A$45,1)):INDEX($A$3:$A$45,MATCH((SUM(BG5:BG1000)),$A$3:$A$45,1)+1))</f>
        <v>47.2</v>
      </c>
      <c r="BI5" s="74">
        <f>IF(AND(BH5&lt;=750,BH5&gt;250),6,IF(AND(BH5&lt;=250,BH5&gt;120),4,IF(AND(BH5&lt;=120,BH5&gt;75),3,IF(AND(BH5&lt;=75,BH5&gt;40),2.5,IF(AND(BH5&lt;=40,BH5&gt;20),2,IF(AND(BH5&lt;=20,BH5&gt;14),1.5,IF(AND(BH5&lt;=14,BH5&gt;7),1.25,IF(AND(BH5&lt;=7,BH5&gt;3.5),1,IF(AND(BH5&lt;=3.5,BH5&gt;1.7),0.75,IF(AND(BH5&lt;=1.7,BH5&gt;0),0.5))))))))))</f>
        <v>2.5</v>
      </c>
      <c r="BJ5" s="61">
        <f>SUM('FU Distribution'!BD67:$BD$109)</f>
        <v>32</v>
      </c>
      <c r="BK5" s="62">
        <f>FORECAST((SUM(BJ5:BJ1000)),INDEX($B$3:$B$45,MATCH((SUM(BJ5:BJ1000)),$A$3:$A$45,1)):INDEX($B$3:$B$45,MATCH((SUM(BJ5:BJ1000)),$A$3:$A$45,1)+1),INDEX($A$3:$A$45,MATCH((SUM(BJ5:BJ1000)),$A$3:$A$45,1)):INDEX($A$3:$A$45,MATCH((SUM(BJ5:BJ1000)),$A$3:$A$45,1)+1))</f>
        <v>43.800000000000004</v>
      </c>
      <c r="BL5" s="74">
        <f>IF(AND(BK5&lt;=750,BK5&gt;250),6,IF(AND(BK5&lt;=250,BK5&gt;120),4,IF(AND(BK5&lt;=120,BK5&gt;75),3,IF(AND(BK5&lt;=75,BK5&gt;40),2.5,IF(AND(BK5&lt;=40,BK5&gt;20),2,IF(AND(BK5&lt;=20,BK5&gt;14),1.5,IF(AND(BK5&lt;=14,BK5&gt;7),1.25,IF(AND(BK5&lt;=7,BK5&gt;3.5),1,IF(AND(BK5&lt;=3.5,BK5&gt;1.7),0.75,IF(AND(BK5&lt;=1.7,BK5&gt;0),0.5))))))))))</f>
        <v>2.5</v>
      </c>
      <c r="BM5" s="75">
        <f>SUM('FU Distribution'!BF67:$BF$109)+IF('FU Distribution'!$D$112=11,'FU Distribution'!$D$114,0)</f>
        <v>0</v>
      </c>
      <c r="BN5" s="76" t="e">
        <f>FORECAST((SUM(BM5:BM1000)),INDEX($B$3:$B$45,MATCH((SUM(BM5:BM1000)),$A$3:$A$45,1)):INDEX($B$3:$B$45,MATCH((SUM(BM5:BM1000)),$A$3:$A$45,1)+1),INDEX($A$3:$A$45,MATCH((SUM(BM5:BM1000)),$A$3:$A$45,1)):INDEX($A$3:$A$45,MATCH((SUM(BM5:BM1000)),$A$3:$A$45,1)+1))</f>
        <v>#N/A</v>
      </c>
      <c r="BO5" s="77" t="e">
        <f>IF(AND(BN5&lt;=750,BN5&gt;250),6,IF(AND(BN5&lt;=250,BN5&gt;120),4,IF(AND(BN5&lt;=120,BN5&gt;75),3,IF(AND(BN5&lt;=75,BN5&gt;40),2.5,IF(AND(BN5&lt;=40,BN5&gt;20),2,IF(AND(BN5&lt;=20,BN5&gt;14),1.5,IF(AND(BN5&lt;=14,BN5&gt;7),1.25,IF(AND(BN5&lt;=7,BN5&gt;3.5),1,IF(AND(BN5&lt;=3.5,BN5&gt;1.7),0.75,IF(AND(BN5&lt;=1.7,BN5&gt;0),0.5))))))))))</f>
        <v>#N/A</v>
      </c>
      <c r="BP5" s="75">
        <f>SUM('FU Distribution'!BG67:$BG$109)</f>
        <v>0</v>
      </c>
      <c r="BQ5" s="76" t="e">
        <f>FORECAST((SUM(BP5:BP1000)),INDEX($B$3:$B$45,MATCH((SUM(BP5:BP1000)),$A$3:$A$45,1)):INDEX($B$3:$B$45,MATCH((SUM(BP5:BP1000)),$A$3:$A$45,1)+1),INDEX($A$3:$A$45,MATCH((SUM(BP5:BP1000)),$A$3:$A$45,1)):INDEX($A$3:$A$45,MATCH((SUM(BP5:BP1000)),$A$3:$A$45,1)+1))</f>
        <v>#N/A</v>
      </c>
      <c r="BR5" s="77" t="e">
        <f>IF(AND(BQ5&lt;=750,BQ5&gt;250),6,IF(AND(BQ5&lt;=250,BQ5&gt;120),4,IF(AND(BQ5&lt;=120,BQ5&gt;75),3,IF(AND(BQ5&lt;=75,BQ5&gt;40),2.5,IF(AND(BQ5&lt;=40,BQ5&gt;20),2,IF(AND(BQ5&lt;=20,BQ5&gt;14),1.5,IF(AND(BQ5&lt;=14,BQ5&gt;7),1.25,IF(AND(BQ5&lt;=7,BQ5&gt;3.5),1,IF(AND(BQ5&lt;=3.5,BQ5&gt;1.7),0.75,IF(AND(BQ5&lt;=1.7,BQ5&gt;0),0.5))))))))))</f>
        <v>#N/A</v>
      </c>
      <c r="BS5" s="61">
        <f>SUM('FU Distribution'!BI67:$BI$109)+IF('FU Distribution'!$D$112=12,'FU Distribution'!$D$114,0)</f>
        <v>0</v>
      </c>
      <c r="BT5" s="62" t="e">
        <f>FORECAST(BS5,INDEX($B$3:$B$45,MATCH(BS5,$A$3:$A$45,1)):INDEX($B$3:$B$45,MATCH(BS5,$A$3:$A$45,1)+1),INDEX($A$3:$A$45,MATCH(BS5,$A$3:$A$45,1)):INDEX($A$3:$A$45,MATCH(BS5,$A$3:$A$45,1)+1))</f>
        <v>#N/A</v>
      </c>
      <c r="BU5" s="74" t="e">
        <f>IF(AND(BT5&lt;=750,BT5&gt;250),6,IF(AND(BT5=250,BT5&gt;120),4,IF(AND(BT5&lt;=120,BT5&gt;75),3,IF(AND(BT5&lt;=75,BT5&gt;40),2.5,IF(AND(BT5&lt;=40,BT5&gt;20),2,IF(AND(BT5&lt;=20,BT5&gt;14),1.5,IF(AND(BT5&lt;=14,BT5&gt;7),1.25,IF(AND(BT5&lt;=7,BT5&gt;3.5),1,IF(AND(BT5&lt;=3.5,BT5&gt;1.7),0.75,IF(AND(BT5&lt;=1.7,BT5&gt;0),0.5))))))))))</f>
        <v>#N/A</v>
      </c>
      <c r="BV5" s="61">
        <f>SUM('FU Distribution'!BJ67:$BJ$109)</f>
        <v>0</v>
      </c>
      <c r="BW5" s="62" t="e">
        <f>FORECAST(BV5,INDEX($B$3:$B$45,MATCH(BV5,$A$3:$A$45,1)):INDEX($B$3:$B$45,MATCH(BV5,$A$3:$A$45,1)+1),INDEX($A$3:$A$45,MATCH(BV5,$A$3:$A$45,1)):INDEX($A$3:$A$45,MATCH(BV5,$A$3:$A$45,1)+1))</f>
        <v>#N/A</v>
      </c>
      <c r="BX5" s="74" t="e">
        <f>IF(AND(BW5&lt;=750,BW5&gt;250),6,IF(AND(BW5=250,BW5&gt;120),4,IF(AND(BW5&lt;=120,BW5&gt;75),3,IF(AND(BW5&lt;=75,BW5&gt;40),2.5,IF(AND(BW5&lt;=40,BW5&gt;20),2,IF(AND(BW5&lt;=20,BW5&gt;14),1.5,IF(AND(BW5&lt;=14,BW5&gt;7),1.25,IF(AND(BW5&lt;=7,BW5&gt;3.5),1,IF(AND(BW5&lt;=3.5,BW5&gt;1.7),0.75,IF(AND(BW5&lt;=1.7,BW5&gt;0),0.5))))))))))</f>
        <v>#N/A</v>
      </c>
      <c r="BY5" s="75">
        <f>SUM('FU Distribution'!BL67:$BL$109)+IF('FU Distribution'!$D$112=13,'FU Distribution'!$D$114,0)</f>
        <v>0</v>
      </c>
      <c r="BZ5" s="76" t="e">
        <f>FORECAST(BY5,INDEX($B$3:$B$45,MATCH(BY5,$A$3:$A$45,1)):INDEX($B$3:$B$45,MATCH(BY5,$A$3:$A$45,1)+1),INDEX($A$3:$A$45,MATCH(BY5,$A$3:$A$45,1)):INDEX($A$3:$A$45,MATCH(BY5,$A$3:$A$45,1)+1))</f>
        <v>#N/A</v>
      </c>
      <c r="CA5" s="77" t="e">
        <f>IF(AND(BZ5&lt;=750,BZ5&gt;250),6,IF(AND(BZ5=250,BZ5&gt;120),4,IF(AND(BZ5&lt;=120,BZ5&gt;75),3,IF(AND(BZ5&lt;=75,BZ5&gt;40),2.5,IF(AND(BZ5&lt;=40,BZ5&gt;20),2,IF(AND(BZ5&lt;=20,BZ5&gt;14),1.5,IF(AND(BZ5&lt;=14,BZ5&gt;7),1.25,IF(AND(BZ5&lt;=7,BZ5&gt;3.5),1,IF(AND(BZ5&lt;=3.5,BZ5&gt;1.7),0.75,IF(AND(BZ5&lt;=1.7,BZ5&gt;0),0.5))))))))))</f>
        <v>#N/A</v>
      </c>
      <c r="CB5" s="75">
        <f>SUM('FU Distribution'!BM67:$BM$109)</f>
        <v>0</v>
      </c>
      <c r="CC5" s="76" t="e">
        <f>FORECAST(CB5,INDEX($B$3:$B$45,MATCH(CB5,$A$3:$A$45,1)):INDEX($B$3:$B$45,MATCH(CB5,$A$3:$A$45,1)+1),INDEX($A$3:$A$45,MATCH(CB5,$A$3:$A$45,1)):INDEX($A$3:$A$45,MATCH(CB5,$A$3:$A$45,1)+1))</f>
        <v>#N/A</v>
      </c>
      <c r="CD5" s="77" t="e">
        <f>IF(AND(CC5&lt;=750,CC5&gt;250),6,IF(AND(CC5=250,CC5&gt;120),4,IF(AND(CC5&lt;=120,CC5&gt;75),3,IF(AND(CC5&lt;=75,CC5&gt;40),2.5,IF(AND(CC5&lt;=40,CC5&gt;20),2,IF(AND(CC5&lt;=20,CC5&gt;14),1.5,IF(AND(CC5&lt;=14,CC5&gt;7),1.25,IF(AND(CC5&lt;=7,CC5&gt;3.5),1,IF(AND(CC5&lt;=3.5,CC5&gt;1.7),0.75,IF(AND(CC5&lt;=1.7,CC5&gt;0),0.5))))))))))</f>
        <v>#N/A</v>
      </c>
      <c r="CE5" s="61">
        <f>SUM('FU Distribution'!BO67:$BO$109)+IF('FU Distribution'!$D$112=13,'FU Distribution'!$D$114,0)</f>
        <v>0</v>
      </c>
      <c r="CF5" s="62" t="e">
        <f>FORECAST(CE5,INDEX($B$3:$B$45,MATCH(CE5,$A$3:$A$45,1)):INDEX($B$3:$B$45,MATCH(CE5,$A$3:$A$45,1)+1),INDEX($A$3:$A$45,MATCH(CE5,$A$3:$A$45,1)):INDEX($A$3:$A$45,MATCH(CE5,$A$3:$A$45,1)+1))</f>
        <v>#N/A</v>
      </c>
      <c r="CG5" s="74" t="e">
        <f>IF(AND(CF5&lt;=750,CF5&gt;250),6,IF(AND(CF5=250,CF5&gt;120),4,IF(AND(CF5&lt;=120,CF5&gt;75),3,IF(AND(CF5&lt;=75,CF5&gt;40),2.5,IF(AND(CF5&lt;=40,CF5&gt;20),2,IF(AND(CF5&lt;=20,CF5&gt;14),1.5,IF(AND(CF5&lt;=14,CF5&gt;7),1.25,IF(AND(CF5&lt;=7,CF5&gt;3.5),1,IF(AND(CF5&lt;=3.5,CF5&gt;1.7),0.75,IF(AND(CF5&lt;=1.7,CF5&gt;0),0.5))))))))))</f>
        <v>#N/A</v>
      </c>
      <c r="CH5" s="61">
        <f>SUM('FU Distribution'!BP67:$BP$109)</f>
        <v>0</v>
      </c>
      <c r="CI5" s="62" t="e">
        <f>FORECAST(CH5,INDEX($B$3:$B$45,MATCH(CH5,$A$3:$A$45,1)):INDEX($B$3:$B$45,MATCH(CH5,$A$3:$A$45,1)+1),INDEX($A$3:$A$45,MATCH(CH5,$A$3:$A$45,1)):INDEX($A$3:$A$45,MATCH(CH5,$A$3:$A$45,1)+1))</f>
        <v>#N/A</v>
      </c>
      <c r="CJ5" s="74" t="e">
        <f>IF(AND(CI5&lt;=750,CI5&gt;250),6,IF(AND(CI5=250,CI5&gt;120),4,IF(AND(CI5&lt;=120,CI5&gt;75),3,IF(AND(CI5&lt;=75,CI5&gt;40),2.5,IF(AND(CI5&lt;=40,CI5&gt;20),2,IF(AND(CI5&lt;=20,CI5&gt;14),1.5,IF(AND(CI5&lt;=14,CI5&gt;7),1.25,IF(AND(CI5&lt;=7,CI5&gt;3.5),1,IF(AND(CI5&lt;=3.5,CI5&gt;1.7),0.75,IF(AND(CI5&lt;=1.7,CI5&gt;0),0.5))))))))))</f>
        <v>#N/A</v>
      </c>
    </row>
    <row r="6" spans="1:88" x14ac:dyDescent="0.25">
      <c r="A6" s="2">
        <v>8</v>
      </c>
      <c r="B6" s="2">
        <v>12.8</v>
      </c>
      <c r="D6" s="52">
        <v>2</v>
      </c>
      <c r="E6" s="61">
        <f>SUM('FU Distribution'!AB68:$AB$109)+IF('FU Distribution'!$D$112=1,'FU Distribution'!$D$114,0)</f>
        <v>26.900000000000002</v>
      </c>
      <c r="F6" s="98">
        <f>FORECAST(E6,INDEX($B$3:$B$45,MATCH(E6,$A$3:$A$45,1)):INDEX($B$3:$B$45,MATCH(E6,$A$3:$A$45,1)+1),INDEX($A$3:$A$45,MATCH(E6,$A$3:$A$45,1)):INDEX($A$3:$A$45,MATCH(E6,$A$3:$A$45,1)+1))</f>
        <v>22.101333333333333</v>
      </c>
      <c r="G6" s="97">
        <f>IF(AND(F6&lt;=750,F6&gt;250),6,IF(AND(F6&lt;=250,F6&gt;120),4,IF(AND(F6&lt;=120,F6&gt;75),3,IF(AND(F6&lt;=75,F6&gt;40),2.5,IF(AND(F6&lt;=40,F6&gt;20),2,IF(AND(F6&lt;=20,F6&gt;14),1.5,IF(AND(F6&lt;=14,F6&gt;7),1.25,IF(AND(F6&lt;=7,F6&gt;3.5),1,IF(AND(F6&lt;=3.5,F6&gt;1.7),0.75,IF(AND(F6&lt;=1.7,F6&gt;0),0.5))))))))))</f>
        <v>2</v>
      </c>
      <c r="H6" s="61">
        <f>SUM('FU Distribution'!AC68:$AC$109)</f>
        <v>24.1</v>
      </c>
      <c r="I6" s="98">
        <f>FORECAST(H6,INDEX($B$3:$B$45,MATCH(H6,$A$3:$A$45,1)):INDEX($B$3:$B$45,MATCH(H6,$A$3:$A$45,1)+1),INDEX($A$3:$A$45,MATCH(H6,$A$3:$A$45,1)):INDEX($A$3:$A$45,MATCH(H6,$A$3:$A$45,1)+1))</f>
        <v>21.018666666666668</v>
      </c>
      <c r="J6" s="99">
        <f t="shared" ref="J6:J11" si="2">IF(AND(I6&lt;=750,I6&gt;250),6,IF(AND(I6&lt;=250,I6&gt;120),4,IF(AND(I6&lt;=120,I6&gt;75),3,IF(AND(I6&lt;=75,I6&gt;40),2.5,IF(AND(I6&lt;=40,I6&gt;20),2,IF(AND(I6&lt;=20,I6&gt;14),1.5,IF(AND(I6&lt;=14,I6&gt;7),1.25,IF(AND(I6&lt;=7,I6&gt;3.5),1,IF(AND(I6&lt;=3.5,I6&gt;1.7),0.75,IF(AND(I6&lt;=1.7,I6&gt;0),0.5))))))))))</f>
        <v>2</v>
      </c>
      <c r="K6" s="75">
        <f>SUM('FU Distribution'!AE68:$AE$109)+IF('FU Distribution'!$D$112=2,'FU Distribution'!$D$114,0)</f>
        <v>18.8</v>
      </c>
      <c r="L6" s="100">
        <f>FORECAST(K6,INDEX($B$3:$B$45,MATCH(K6,$A$3:$A$45,1)):INDEX($B$3:$B$45,MATCH(K6,$A$3:$A$45,1)+1),INDEX($A$3:$A$45,MATCH(K6,$A$3:$A$45,1)):INDEX($A$3:$A$45,MATCH(K6,$A$3:$A$45,1)+1))</f>
        <v>18.969333333333331</v>
      </c>
      <c r="M6" s="97">
        <f>IF(AND(L6&lt;=750,L6&gt;250),6,IF(AND(L6&lt;=250,L6&gt;120),4,IF(AND(L6&lt;=120,L6&gt;75),3,IF(AND(L6&lt;=75,L6&gt;40),2.5,IF(AND(L6&lt;=40,L6&gt;20),2,IF(AND(L6&lt;=20,L6&gt;14),1.5,IF(AND(L6&lt;=14,L6&gt;7),1.25,IF(AND(L6&lt;=7,L6&gt;3.5),1,IF(AND(L6&lt;=3.5,L6&gt;1.7),0.75,IF(AND(L6&lt;=1.7,L6&gt;0),0.5))))))))))</f>
        <v>1.5</v>
      </c>
      <c r="N6" s="75">
        <f>SUM('FU Distribution'!AF68:$AF$109)</f>
        <v>19.600000000000001</v>
      </c>
      <c r="O6" s="100">
        <f>FORECAST(N6,INDEX($B$3:$B$45,MATCH(N6,$A$3:$A$45,1)):INDEX($B$3:$B$45,MATCH(N6,$A$3:$A$45,1)+1),INDEX($A$3:$A$45,MATCH(N6,$A$3:$A$45,1)):INDEX($A$3:$A$45,MATCH(N6,$A$3:$A$45,1)+1))</f>
        <v>19.278666666666666</v>
      </c>
      <c r="P6" s="97">
        <f>IF(AND(O6&lt;=750,O6&gt;250),6,IF(AND(O6&lt;=250,O6&gt;120),4,IF(AND(O6&lt;=120,O6&gt;75),3,IF(AND(O6&lt;=75,O6&gt;40),2.5,IF(AND(O6&lt;=40,O6&gt;20),2,IF(AND(O6&lt;=20,O6&gt;14),1.5,IF(AND(O6&lt;=14,O6&gt;7),1.25,IF(AND(O6&lt;=7,O6&gt;3.5),1,IF(AND(O6&lt;=3.5,O6&gt;1.7),0.75,IF(AND(O6&lt;=1.7,O6&gt;0),0.5))))))))))</f>
        <v>1.5</v>
      </c>
      <c r="Q6" s="61">
        <f>SUM('FU Distribution'!AH68:$AH$109)+IF('FU Distribution'!$D$112=3,'FU Distribution'!$D$114,0)</f>
        <v>18.8</v>
      </c>
      <c r="R6" s="98">
        <f>FORECAST(Q6,INDEX($B$3:$B$45,MATCH(Q6,$A$3:$A$45,1)):INDEX($B$3:$B$45,MATCH(Q6,$A$3:$A$45,1)+1),INDEX($A$3:$A$45,MATCH(Q6,$A$3:$A$45,1)):INDEX($A$3:$A$45,MATCH(Q6,$A$3:$A$45,1)+1))</f>
        <v>18.969333333333331</v>
      </c>
      <c r="S6" s="97">
        <f>IF(AND(R6&lt;=750,R6&gt;250),6,IF(AND(R6&lt;=250,R6&gt;120),4,IF(AND(R6&lt;=120,R6&gt;75),3,IF(AND(R6&lt;=75,R6&gt;40),2.5,IF(AND(R6&lt;=40,R6&gt;20),2,IF(AND(R6&lt;=20,R6&gt;14),1.5,IF(AND(R6&lt;=14,R6&gt;7),1.25,IF(AND(R6&lt;=7,R6&gt;3.5),1,IF(AND(R6&lt;=3.5,R6&gt;1.7),0.75,IF(AND(R6&lt;=1.7,R6&gt;0),0.5))))))))))</f>
        <v>1.5</v>
      </c>
      <c r="T6" s="61">
        <f>SUM('FU Distribution'!AI68:$AI$109)</f>
        <v>19.600000000000001</v>
      </c>
      <c r="U6" s="98">
        <f>FORECAST(T6,INDEX($B$3:$B$45,MATCH(T6,$A$3:$A$45,1)):INDEX($B$3:$B$45,MATCH(T6,$A$3:$A$45,1)+1),INDEX($A$3:$A$45,MATCH(T6,$A$3:$A$45,1)):INDEX($A$3:$A$45,MATCH(T6,$A$3:$A$45,1)+1))</f>
        <v>19.278666666666666</v>
      </c>
      <c r="V6" s="97">
        <f t="shared" si="0"/>
        <v>1.5</v>
      </c>
      <c r="W6" s="75">
        <f>SUM('FU Distribution'!AK68:$AK$109)+IF('FU Distribution'!$D$112=4,'FU Distribution'!$D$114,0)</f>
        <v>18.8</v>
      </c>
      <c r="X6" s="100">
        <f>FORECAST(W6,INDEX($B$3:$B$45,MATCH(W6,$A$3:$A$45,1)):INDEX($B$3:$B$45,MATCH(W6,$A$3:$A$45,1)+1),INDEX($A$3:$A$45,MATCH(W6,$A$3:$A$45,1)):INDEX($A$3:$A$45,MATCH(W6,$A$3:$A$45,1)+1))</f>
        <v>18.969333333333331</v>
      </c>
      <c r="Y6" s="97">
        <f t="shared" si="1"/>
        <v>1.5</v>
      </c>
      <c r="Z6" s="75">
        <f>SUM('FU Distribution'!AL68:$AL$109)</f>
        <v>19.600000000000001</v>
      </c>
      <c r="AA6" s="100">
        <f>FORECAST(Z6,INDEX($B$3:$B$45,MATCH(Z6,$A$3:$A$45,1)):INDEX($B$3:$B$45,MATCH(Z6,$A$3:$A$45,1)+1),INDEX($A$3:$A$45,MATCH(Z6,$A$3:$A$45,1)):INDEX($A$3:$A$45,MATCH(Z6,$A$3:$A$45,1)+1))</f>
        <v>19.278666666666666</v>
      </c>
      <c r="AB6" s="97">
        <f>IF(AND(AA6&lt;=750,AA6&gt;250),6,IF(AND(AA6&lt;=250,AA6&gt;120),4,IF(AND(AA6&lt;=120,AA6&gt;75),3,IF(AND(AA6&lt;=75,AA6&gt;40),2.5,IF(AND(AA6&lt;=40,AA6&gt;20),2,IF(AND(AA6&lt;=20,AA6&gt;14),1.5,IF(AND(AA6&lt;=14,AA6&gt;7),1.25,IF(AND(AA6&lt;=7,AA6&gt;3.5),1,IF(AND(AA6&lt;=3.5,AA6&gt;1.7),0.75,IF(AND(AA6&lt;=1.7,AA6&gt;0),0.5))))))))))</f>
        <v>1.5</v>
      </c>
      <c r="AC6" s="61">
        <f>SUM('FU Distribution'!AN68:$AN$109)+IF('FU Distribution'!$D$112=5,'FU Distribution'!$D$114,0)</f>
        <v>18.8</v>
      </c>
      <c r="AD6" s="98">
        <f>FORECAST(AC6,INDEX($B$3:$B$45,MATCH(AC6,$A$3:$A$45,1)):INDEX($B$3:$B$45,MATCH(AC6,$A$3:$A$45,1)+1),INDEX($A$3:$A$45,MATCH(AC6,$A$3:$A$45,1)):INDEX($A$3:$A$45,MATCH(AC6,$A$3:$A$45,1)+1))</f>
        <v>18.969333333333331</v>
      </c>
      <c r="AE6" s="97">
        <f>IF(AND(AD6&lt;=750,AD6&gt;250),6,IF(AND(AD6&lt;=250,AD6&gt;120),4,IF(AND(AD6&lt;=120,AD6&gt;75),3,IF(AND(AD6&lt;=75,AD6&gt;40),2.5,IF(AND(AD6&lt;=40,AD6&gt;20),2,IF(AND(AD6&lt;=20,AD6&gt;14),1.5,IF(AND(AD6&lt;=14,AD6&gt;7),1.25,IF(AND(AD6&lt;=7,AD6&gt;3.5),1,IF(AND(AD6&lt;=3.5,AD6&gt;1.7),0.75,IF(AND(AD6&lt;=1.7,AD6&gt;0),0.5))))))))))</f>
        <v>1.5</v>
      </c>
      <c r="AF6" s="61">
        <f>SUM('FU Distribution'!AO68:$AO$109)</f>
        <v>19.600000000000001</v>
      </c>
      <c r="AG6" s="98">
        <f>FORECAST(AF6,INDEX($B$3:$B$45,MATCH(AF6,$A$3:$A$45,1)):INDEX($B$3:$B$45,MATCH(AF6,$A$3:$A$45,1)+1),INDEX($A$3:$A$45,MATCH(AF6,$A$3:$A$45,1)):INDEX($A$3:$A$45,MATCH(AF6,$A$3:$A$45,1)+1))</f>
        <v>19.278666666666666</v>
      </c>
      <c r="AH6" s="97">
        <f>IF(AND(AG6&lt;=750,AG6&gt;250),6,IF(AND(AG6&lt;=250,AG6&gt;120),4,IF(AND(AG6&lt;=120,AG6&gt;75),3,IF(AND(AG6&lt;=75,AG6&gt;40),2.5,IF(AND(AG6&lt;=40,AG6&gt;20),2,IF(AND(AG6&lt;=20,AG6&gt;14),1.5,IF(AND(AG6&lt;=14,AG6&gt;7),1.25,IF(AND(AG6&lt;=7,AG6&gt;3.5),1,IF(AND(AG6&lt;=3.5,AG6&gt;1.7),0.75,IF(AND(AG6&lt;=1.7,AG6&gt;0),0.5))))))))))</f>
        <v>1.5</v>
      </c>
      <c r="AI6" s="75">
        <f>SUM('FU Distribution'!AQ68:$AQ$109)+IF('FU Distribution'!$D$112=6,'FU Distribution'!$D$114,0)</f>
        <v>21.5</v>
      </c>
      <c r="AJ6" s="100">
        <f>FORECAST(AI6,INDEX($B$3:$B$45,MATCH(AI6,$A$3:$A$45,1)):INDEX($B$3:$B$45,MATCH(AI6,$A$3:$A$45,1)+1),INDEX($A$3:$A$45,MATCH(AI6,$A$3:$A$45,1)):INDEX($A$3:$A$45,MATCH(AI6,$A$3:$A$45,1)+1))</f>
        <v>20.013333333333332</v>
      </c>
      <c r="AK6" s="97">
        <f>IF(AND(AJ6&lt;=750,AJ6&gt;250),6,IF(AND(AJ6&lt;=250,AJ6&gt;120),4,IF(AND(AJ6&lt;=120,AJ6&gt;75),3,IF(AND(AJ6&lt;=75,AJ6&gt;40),2.5,IF(AND(AJ6&lt;=40,AJ6&gt;20),2,IF(AND(AJ6&lt;=20,AJ6&gt;14),1.5,IF(AND(AJ6&lt;=14,AJ6&gt;7),1.25,IF(AND(AJ6&lt;=7,AJ6&gt;3.5),1,IF(AND(AJ6&lt;=3.5,AJ6&gt;1.7),0.75,IF(AND(AJ6&lt;=1.7,AJ6&gt;0),0.5))))))))))</f>
        <v>2</v>
      </c>
      <c r="AL6" s="75">
        <f>SUM('FU Distribution'!AR68:$AR$109)</f>
        <v>20.100000000000001</v>
      </c>
      <c r="AM6" s="100">
        <f>FORECAST(AL6,INDEX($B$3:$B$45,MATCH(AL6,$A$3:$A$45,1)):INDEX($B$3:$B$45,MATCH(AL6,$A$3:$A$45,1)+1),INDEX($A$3:$A$45,MATCH(AL6,$A$3:$A$45,1)):INDEX($A$3:$A$45,MATCH(AL6,$A$3:$A$45,1)+1))</f>
        <v>19.472000000000001</v>
      </c>
      <c r="AN6" s="97">
        <f>IF(AND(AM6&lt;=750,AM6&gt;250),6,IF(AND(AM6&lt;=250,AM6&gt;120),4,IF(AND(AM6&lt;=120,AM6&gt;75),3,IF(AND(AM6&lt;=75,AM6&gt;40),2.5,IF(AND(AM6&lt;=40,AM6&gt;20),2,IF(AND(AM6&lt;=20,AM6&gt;14),1.5,IF(AND(AM6&lt;=14,AM6&gt;7),1.25,IF(AND(AM6&lt;=7,AM6&gt;3.5),1,IF(AND(AM6&lt;=3.5,AM6&gt;1.7),0.75,IF(AND(AM6&lt;=1.7,AM6&gt;0),0.5))))))))))</f>
        <v>1.5</v>
      </c>
      <c r="AO6" s="61">
        <f>SUM('FU Distribution'!AT68:$AT$109)+IF('FU Distribution'!$D$112=7,'FU Distribution'!$D$114,0)</f>
        <v>18.8</v>
      </c>
      <c r="AP6" s="98">
        <f>FORECAST(AO6,INDEX($B$3:$B$45,MATCH(AO6,$A$3:$A$45,1)):INDEX($B$3:$B$45,MATCH(AO6,$A$3:$A$45,1)+1),INDEX($A$3:$A$45,MATCH(AO6,$A$3:$A$45,1)):INDEX($A$3:$A$45,MATCH(AO6,$A$3:$A$45,1)+1))</f>
        <v>18.969333333333331</v>
      </c>
      <c r="AQ6" s="97">
        <f>IF(AND(AP6&lt;=750,AP6&gt;250),6,IF(AND(AP6&lt;=250,AP6&gt;120),4,IF(AND(AP6&lt;=120,AP6&gt;75),3,IF(AND(AP6&lt;=75,AP6&gt;40),2.5,IF(AND(AP6&lt;=40,AP6&gt;20),2,IF(AND(AP6&lt;=20,AP6&gt;14),1.5,IF(AND(AP6&lt;=14,AP6&gt;7),1.25,IF(AND(AP6&lt;=7,AP6&gt;3.5),1,IF(AND(AP6&lt;=3.5,AP6&gt;1.7),0.75,IF(AND(AP6&lt;=1.7,AP6&gt;0),0.5))))))))))</f>
        <v>1.5</v>
      </c>
      <c r="AR6" s="61">
        <f>SUM('FU Distribution'!AU68:$AU$109)</f>
        <v>19.600000000000001</v>
      </c>
      <c r="AS6" s="98">
        <f>FORECAST(AR6,INDEX($B$3:$B$45,MATCH(AR6,$A$3:$A$45,1)):INDEX($B$3:$B$45,MATCH(AR6,$A$3:$A$45,1)+1),INDEX($A$3:$A$45,MATCH(AR6,$A$3:$A$45,1)):INDEX($A$3:$A$45,MATCH(AR6,$A$3:$A$45,1)+1))</f>
        <v>19.278666666666666</v>
      </c>
      <c r="AT6" s="97">
        <f>IF(AND(AS6&lt;=750,AS6&gt;250),6,IF(AND(AS6&lt;=250,AS6&gt;120),4,IF(AND(AS6&lt;=120,AS6&gt;75),3,IF(AND(AS6&lt;=75,AS6&gt;40),2.5,IF(AND(AS6&lt;=40,AS6&gt;20),2,IF(AND(AS6&lt;=20,AS6&gt;14),1.5,IF(AND(AS6&lt;=14,AS6&gt;7),1.25,IF(AND(AS6&lt;=7,AS6&gt;3.5),1,IF(AND(AS6&lt;=3.5,AS6&gt;1.7),0.75,IF(AND(AS6&lt;=1.7,AS6&gt;0),0.5))))))))))</f>
        <v>1.5</v>
      </c>
      <c r="AU6" s="61">
        <f>SUM('FU Distribution'!AW68:$AW$109)+IF('FU Distribution'!$D$112=8,'FU Distribution'!$D$114,0)</f>
        <v>18.8</v>
      </c>
      <c r="AV6" s="98">
        <f>FORECAST(AU6,INDEX($B$3:$B$45,MATCH(AU6,$A$3:$A$45,1)):INDEX($B$3:$B$45,MATCH(AU6,$A$3:$A$45,1)+1),INDEX($A$3:$A$45,MATCH(AU6,$A$3:$A$45,1)):INDEX($A$3:$A$45,MATCH(AU6,$A$3:$A$45,1)+1))</f>
        <v>18.969333333333331</v>
      </c>
      <c r="AW6" s="97">
        <f>IF(AND(AV6&lt;=750,AV6&gt;250),6,IF(AND(AV6&lt;=250,AV6&gt;120),4,IF(AND(AV6&lt;=120,AV6&gt;75),3,IF(AND(AV6&lt;=75,AV6&gt;40),2.5,IF(AND(AV6&lt;=40,AV6&gt;20),2,IF(AND(AV6&lt;=20,AV6&gt;14),1.5,IF(AND(AV6&lt;=14,AV6&gt;7),1.25,IF(AND(AV6&lt;=7,AV6&gt;3.5),1,IF(AND(AV6&lt;=3.5,AV6&gt;1.7),0.75,IF(AND(AV6&lt;=1.7,AV6&gt;0),0.5))))))))))</f>
        <v>1.5</v>
      </c>
      <c r="AX6" s="61">
        <f>SUM('FU Distribution'!AX68:$AX$109)</f>
        <v>19.600000000000001</v>
      </c>
      <c r="AY6" s="98">
        <f>FORECAST(AX6,INDEX($B$3:$B$45,MATCH(AX6,$A$3:$A$45,1)):INDEX($B$3:$B$45,MATCH(AX6,$A$3:$A$45,1)+1),INDEX($A$3:$A$45,MATCH(AX6,$A$3:$A$45,1)):INDEX($A$3:$A$45,MATCH(AX6,$A$3:$A$45,1)+1))</f>
        <v>19.278666666666666</v>
      </c>
      <c r="AZ6" s="97">
        <f>IF(AND(AY6&lt;=750,AY6&gt;250),6,IF(AND(AY6&lt;=250,AY6&gt;120),4,IF(AND(AY6&lt;=120,AY6&gt;75),3,IF(AND(AY6&lt;=75,AY6&gt;40),2.5,IF(AND(AY6&lt;=40,AY6&gt;20),2,IF(AND(AY6&lt;=20,AY6&gt;14),1.5,IF(AND(AY6&lt;=14,AY6&gt;7),1.25,IF(AND(AY6&lt;=7,AY6&gt;3.5),1,IF(AND(AY6&lt;=3.5,AY6&gt;1.7),0.75,IF(AND(AY6&lt;=1.7,AY6&gt;0),0.5))))))))))</f>
        <v>1.5</v>
      </c>
      <c r="BA6" s="75">
        <f>SUM('FU Distribution'!AZ68:$AZ$109)+IF('FU Distribution'!$D$112=9,'FU Distribution'!$D$114,0)</f>
        <v>18.8</v>
      </c>
      <c r="BB6" s="76">
        <f>FORECAST((SUM(BA6:BA1001)),INDEX($B$3:$B$45,MATCH((SUM(BA6:BA1001)),$A$3:$A$45,1)):INDEX($B$3:$B$45,MATCH((SUM(BA6:BA1001)),$A$3:$A$45,1)+1),INDEX($A$3:$A$45,MATCH((SUM(BA6:BA1001)),$A$3:$A$45,1)):INDEX($A$3:$A$45,MATCH((SUM(BA6:BA1001)),$A$3:$A$45,1)+1))</f>
        <v>28.230000000000004</v>
      </c>
      <c r="BC6" s="77">
        <f t="shared" ref="BC6:BC45" si="3">IF(AND(BB6&lt;=750,BB6&gt;250),6,IF(AND(BB6&lt;=250,BB6&gt;120),4,IF(AND(BB6&lt;=120,BB6&gt;75),3,IF(AND(BB6&lt;=75,BB6&gt;40),2.5,IF(AND(BB6&lt;=40,BB6&gt;20),2,IF(AND(BB6&lt;=20,BB6&gt;14),1.5,IF(AND(BB6&lt;=14,BB6&gt;7),1.25,IF(AND(BB6&lt;=7,BB6&gt;3.5),1,IF(AND(BB6&lt;=3.5,BB6&gt;1.7),0.75,IF(AND(BB6&lt;=1.7,BB6&gt;0),0.5))))))))))</f>
        <v>2</v>
      </c>
      <c r="BD6" s="75">
        <f>SUM('FU Distribution'!BA68:$BA$109)</f>
        <v>19.600000000000001</v>
      </c>
      <c r="BE6" s="76">
        <f>FORECAST((SUM(BD6:BD1001)),INDEX($B$3:$B$45,MATCH((SUM(BD6:BD1001)),$A$3:$A$45,1)):INDEX($B$3:$B$45,MATCH((SUM(BD6:BD1001)),$A$3:$A$45,1)+1),INDEX($A$3:$A$45,MATCH((SUM(BD6:BD1001)),$A$3:$A$45,1)):INDEX($A$3:$A$45,MATCH((SUM(BD6:BD1001)),$A$3:$A$45,1)+1))</f>
        <v>28.810000000000006</v>
      </c>
      <c r="BF6" s="77">
        <f t="shared" ref="BF6:BF45" si="4">IF(AND(BE6&lt;=750,BE6&gt;250),6,IF(AND(BE6&lt;=250,BE6&gt;120),4,IF(AND(BE6&lt;=120,BE6&gt;75),3,IF(AND(BE6&lt;=75,BE6&gt;40),2.5,IF(AND(BE6&lt;=40,BE6&gt;20),2,IF(AND(BE6&lt;=20,BE6&gt;14),1.5,IF(AND(BE6&lt;=14,BE6&gt;7),1.25,IF(AND(BE6&lt;=7,BE6&gt;3.5),1,IF(AND(BE6&lt;=3.5,BE6&gt;1.7),0.75,IF(AND(BE6&lt;=1.7,BE6&gt;0),0.5))))))))))</f>
        <v>2</v>
      </c>
      <c r="BG6" s="61">
        <f>SUM('FU Distribution'!BC68:$BC$109)+IF('FU Distribution'!$D$112=10,'FU Distribution'!$D$114,0)</f>
        <v>29.6</v>
      </c>
      <c r="BH6" s="62">
        <f>FORECAST((SUM(BG6:BG1001)),INDEX($B$3:$B$45,MATCH((SUM(BG6:BG1001)),$A$3:$A$45,1)):INDEX($B$3:$B$45,MATCH((SUM(BG6:BG1001)),$A$3:$A$45,1)+1),INDEX($A$3:$A$45,MATCH((SUM(BG6:BG1001)),$A$3:$A$45,1)):INDEX($A$3:$A$45,MATCH((SUM(BG6:BG1001)),$A$3:$A$45,1)+1))</f>
        <v>38.200000000000003</v>
      </c>
      <c r="BI6" s="74">
        <f t="shared" ref="BI6:BI45" si="5">IF(AND(BH6&lt;=750,BH6&gt;250),6,IF(AND(BH6&lt;=250,BH6&gt;120),4,IF(AND(BH6&lt;=120,BH6&gt;75),3,IF(AND(BH6&lt;=75,BH6&gt;40),2.5,IF(AND(BH6&lt;=40,BH6&gt;20),2,IF(AND(BH6&lt;=20,BH6&gt;14),1.5,IF(AND(BH6&lt;=14,BH6&gt;7),1.25,IF(AND(BH6&lt;=7,BH6&gt;3.5),1,IF(AND(BH6&lt;=3.5,BH6&gt;1.7),0.75,IF(AND(BH6&lt;=1.7,BH6&gt;0),0.5))))))))))</f>
        <v>2</v>
      </c>
      <c r="BJ6" s="61">
        <f>SUM('FU Distribution'!BD68:$BD$109)</f>
        <v>25.6</v>
      </c>
      <c r="BK6" s="62">
        <f>FORECAST((SUM(BJ6:BJ1001)),INDEX($B$3:$B$45,MATCH((SUM(BJ6:BJ1001)),$A$3:$A$45,1)):INDEX($B$3:$B$45,MATCH((SUM(BJ6:BJ1001)),$A$3:$A$45,1)+1),INDEX($A$3:$A$45,MATCH((SUM(BJ6:BJ1001)),$A$3:$A$45,1)):INDEX($A$3:$A$45,MATCH((SUM(BJ6:BJ1001)),$A$3:$A$45,1)+1))</f>
        <v>34.600000000000009</v>
      </c>
      <c r="BL6" s="74">
        <f t="shared" ref="BL6:BL45" si="6">IF(AND(BK6&lt;=750,BK6&gt;250),6,IF(AND(BK6&lt;=250,BK6&gt;120),4,IF(AND(BK6&lt;=120,BK6&gt;75),3,IF(AND(BK6&lt;=75,BK6&gt;40),2.5,IF(AND(BK6&lt;=40,BK6&gt;20),2,IF(AND(BK6&lt;=20,BK6&gt;14),1.5,IF(AND(BK6&lt;=14,BK6&gt;7),1.25,IF(AND(BK6&lt;=7,BK6&gt;3.5),1,IF(AND(BK6&lt;=3.5,BK6&gt;1.7),0.75,IF(AND(BK6&lt;=1.7,BK6&gt;0),0.5))))))))))</f>
        <v>2</v>
      </c>
      <c r="BM6" s="75">
        <f>SUM('FU Distribution'!BF68:$BF$109)+IF('FU Distribution'!$D$112=11,'FU Distribution'!$D$114,0)</f>
        <v>0</v>
      </c>
      <c r="BN6" s="76" t="e">
        <f>FORECAST((SUM(BM6:BM1001)),INDEX($B$3:$B$45,MATCH((SUM(BM6:BM1001)),$A$3:$A$45,1)):INDEX($B$3:$B$45,MATCH((SUM(BM6:BM1001)),$A$3:$A$45,1)+1),INDEX($A$3:$A$45,MATCH((SUM(BM6:BM1001)),$A$3:$A$45,1)):INDEX($A$3:$A$45,MATCH((SUM(BM6:BM1001)),$A$3:$A$45,1)+1))</f>
        <v>#N/A</v>
      </c>
      <c r="BO6" s="77" t="e">
        <f t="shared" ref="BO6:BO45" si="7">IF(AND(BN6&lt;=750,BN6&gt;250),6,IF(AND(BN6&lt;=250,BN6&gt;120),4,IF(AND(BN6&lt;=120,BN6&gt;75),3,IF(AND(BN6&lt;=75,BN6&gt;40),2.5,IF(AND(BN6&lt;=40,BN6&gt;20),2,IF(AND(BN6&lt;=20,BN6&gt;14),1.5,IF(AND(BN6&lt;=14,BN6&gt;7),1.25,IF(AND(BN6&lt;=7,BN6&gt;3.5),1,IF(AND(BN6&lt;=3.5,BN6&gt;1.7),0.75,IF(AND(BN6&lt;=1.7,BN6&gt;0),0.5))))))))))</f>
        <v>#N/A</v>
      </c>
      <c r="BP6" s="75">
        <f>SUM('FU Distribution'!BG68:$BG$109)</f>
        <v>0</v>
      </c>
      <c r="BQ6" s="76" t="e">
        <f>FORECAST((SUM(BP6:BP1001)),INDEX($B$3:$B$45,MATCH((SUM(BP6:BP1001)),$A$3:$A$45,1)):INDEX($B$3:$B$45,MATCH((SUM(BP6:BP1001)),$A$3:$A$45,1)+1),INDEX($A$3:$A$45,MATCH((SUM(BP6:BP1001)),$A$3:$A$45,1)):INDEX($A$3:$A$45,MATCH((SUM(BP6:BP1001)),$A$3:$A$45,1)+1))</f>
        <v>#N/A</v>
      </c>
      <c r="BR6" s="77" t="e">
        <f t="shared" ref="BR6:BR45" si="8">IF(AND(BQ6&lt;=750,BQ6&gt;250),6,IF(AND(BQ6&lt;=250,BQ6&gt;120),4,IF(AND(BQ6&lt;=120,BQ6&gt;75),3,IF(AND(BQ6&lt;=75,BQ6&gt;40),2.5,IF(AND(BQ6&lt;=40,BQ6&gt;20),2,IF(AND(BQ6&lt;=20,BQ6&gt;14),1.5,IF(AND(BQ6&lt;=14,BQ6&gt;7),1.25,IF(AND(BQ6&lt;=7,BQ6&gt;3.5),1,IF(AND(BQ6&lt;=3.5,BQ6&gt;1.7),0.75,IF(AND(BQ6&lt;=1.7,BQ6&gt;0),0.5))))))))))</f>
        <v>#N/A</v>
      </c>
      <c r="BS6" s="61">
        <f>SUM('FU Distribution'!BI68:$BI$109)+IF('FU Distribution'!$D$112=12,'FU Distribution'!$D$114,0)</f>
        <v>0</v>
      </c>
      <c r="BT6" s="62" t="e">
        <f>FORECAST(BS6,INDEX($B$3:$B$45,MATCH(BS6,$A$3:$A$45,1)):INDEX($B$3:$B$45,MATCH(BS6,$A$3:$A$45,1)+1),INDEX($A$3:$A$45,MATCH(BS6,$A$3:$A$45,1)):INDEX($A$3:$A$45,MATCH(BS6,$A$3:$A$45,1)+1))</f>
        <v>#N/A</v>
      </c>
      <c r="BU6" s="74" t="e">
        <f t="shared" ref="BU6:BU45" si="9">IF(AND(BT6&lt;=750,BT6&gt;250),6,IF(AND(BT6=250,BT6&gt;120),4,IF(AND(BT6&lt;=120,BT6&gt;75),3,IF(AND(BT6&lt;=75,BT6&gt;40),2.5,IF(AND(BT6&lt;=40,BT6&gt;20),2,IF(AND(BT6&lt;=20,BT6&gt;14),1.5,IF(AND(BT6&lt;=14,BT6&gt;7),1.25,IF(AND(BT6&lt;=7,BT6&gt;3.5),1,IF(AND(BT6&lt;=3.5,BT6&gt;1.7),0.75,IF(AND(BT6&lt;=1.7,BT6&gt;0),0.5))))))))))</f>
        <v>#N/A</v>
      </c>
      <c r="BV6" s="61">
        <f>SUM('FU Distribution'!BJ68:$BJ$109)</f>
        <v>0</v>
      </c>
      <c r="BW6" s="62" t="e">
        <f>FORECAST(BV6,INDEX($B$3:$B$45,MATCH(BV6,$A$3:$A$45,1)):INDEX($B$3:$B$45,MATCH(BV6,$A$3:$A$45,1)+1),INDEX($A$3:$A$45,MATCH(BV6,$A$3:$A$45,1)):INDEX($A$3:$A$45,MATCH(BV6,$A$3:$A$45,1)+1))</f>
        <v>#N/A</v>
      </c>
      <c r="BX6" s="74" t="e">
        <f t="shared" ref="BX6:BX45" si="10">IF(AND(BW6&lt;=750,BW6&gt;250),6,IF(AND(BW6=250,BW6&gt;120),4,IF(AND(BW6&lt;=120,BW6&gt;75),3,IF(AND(BW6&lt;=75,BW6&gt;40),2.5,IF(AND(BW6&lt;=40,BW6&gt;20),2,IF(AND(BW6&lt;=20,BW6&gt;14),1.5,IF(AND(BW6&lt;=14,BW6&gt;7),1.25,IF(AND(BW6&lt;=7,BW6&gt;3.5),1,IF(AND(BW6&lt;=3.5,BW6&gt;1.7),0.75,IF(AND(BW6&lt;=1.7,BW6&gt;0),0.5))))))))))</f>
        <v>#N/A</v>
      </c>
      <c r="BY6" s="75">
        <f>SUM('FU Distribution'!BL68:$BL$109)+IF('FU Distribution'!$D$112=13,'FU Distribution'!$D$114,0)</f>
        <v>0</v>
      </c>
      <c r="BZ6" s="76" t="e">
        <f>FORECAST(BY6,INDEX($B$3:$B$45,MATCH(BY6,$A$3:$A$45,1)):INDEX($B$3:$B$45,MATCH(BY6,$A$3:$A$45,1)+1),INDEX($A$3:$A$45,MATCH(BY6,$A$3:$A$45,1)):INDEX($A$3:$A$45,MATCH(BY6,$A$3:$A$45,1)+1))</f>
        <v>#N/A</v>
      </c>
      <c r="CA6" s="77" t="e">
        <f t="shared" ref="CA6:CA45" si="11">IF(AND(BZ6&lt;=750,BZ6&gt;250),6,IF(AND(BZ6=250,BZ6&gt;120),4,IF(AND(BZ6&lt;=120,BZ6&gt;75),3,IF(AND(BZ6&lt;=75,BZ6&gt;40),2.5,IF(AND(BZ6&lt;=40,BZ6&gt;20),2,IF(AND(BZ6&lt;=20,BZ6&gt;14),1.5,IF(AND(BZ6&lt;=14,BZ6&gt;7),1.25,IF(AND(BZ6&lt;=7,BZ6&gt;3.5),1,IF(AND(BZ6&lt;=3.5,BZ6&gt;1.7),0.75,IF(AND(BZ6&lt;=1.7,BZ6&gt;0),0.5))))))))))</f>
        <v>#N/A</v>
      </c>
      <c r="CB6" s="75">
        <f>SUM('FU Distribution'!BM68:$BM$109)</f>
        <v>0</v>
      </c>
      <c r="CC6" s="76" t="e">
        <f>FORECAST(CB6,INDEX($B$3:$B$45,MATCH(CB6,$A$3:$A$45,1)):INDEX($B$3:$B$45,MATCH(CB6,$A$3:$A$45,1)+1),INDEX($A$3:$A$45,MATCH(CB6,$A$3:$A$45,1)):INDEX($A$3:$A$45,MATCH(CB6,$A$3:$A$45,1)+1))</f>
        <v>#N/A</v>
      </c>
      <c r="CD6" s="77" t="e">
        <f t="shared" ref="CD6:CD45" si="12">IF(AND(CC6&lt;=750,CC6&gt;250),6,IF(AND(CC6=250,CC6&gt;120),4,IF(AND(CC6&lt;=120,CC6&gt;75),3,IF(AND(CC6&lt;=75,CC6&gt;40),2.5,IF(AND(CC6&lt;=40,CC6&gt;20),2,IF(AND(CC6&lt;=20,CC6&gt;14),1.5,IF(AND(CC6&lt;=14,CC6&gt;7),1.25,IF(AND(CC6&lt;=7,CC6&gt;3.5),1,IF(AND(CC6&lt;=3.5,CC6&gt;1.7),0.75,IF(AND(CC6&lt;=1.7,CC6&gt;0),0.5))))))))))</f>
        <v>#N/A</v>
      </c>
      <c r="CE6" s="61">
        <f>SUM('FU Distribution'!BO68:$BO$109)+IF('FU Distribution'!$D$112=13,'FU Distribution'!$D$114,0)</f>
        <v>0</v>
      </c>
      <c r="CF6" s="62" t="e">
        <f>FORECAST(CE6,INDEX($B$3:$B$45,MATCH(CE6,$A$3:$A$45,1)):INDEX($B$3:$B$45,MATCH(CE6,$A$3:$A$45,1)+1),INDEX($A$3:$A$45,MATCH(CE6,$A$3:$A$45,1)):INDEX($A$3:$A$45,MATCH(CE6,$A$3:$A$45,1)+1))</f>
        <v>#N/A</v>
      </c>
      <c r="CG6" s="74" t="e">
        <f t="shared" ref="CG6:CG45" si="13">IF(AND(CF6&lt;=750,CF6&gt;250),6,IF(AND(CF6=250,CF6&gt;120),4,IF(AND(CF6&lt;=120,CF6&gt;75),3,IF(AND(CF6&lt;=75,CF6&gt;40),2.5,IF(AND(CF6&lt;=40,CF6&gt;20),2,IF(AND(CF6&lt;=20,CF6&gt;14),1.5,IF(AND(CF6&lt;=14,CF6&gt;7),1.25,IF(AND(CF6&lt;=7,CF6&gt;3.5),1,IF(AND(CF6&lt;=3.5,CF6&gt;1.7),0.75,IF(AND(CF6&lt;=1.7,CF6&gt;0),0.5))))))))))</f>
        <v>#N/A</v>
      </c>
      <c r="CH6" s="61">
        <f>SUM('FU Distribution'!BP68:$BP$109)</f>
        <v>0</v>
      </c>
      <c r="CI6" s="62" t="e">
        <f>FORECAST(CH6,INDEX($B$3:$B$45,MATCH(CH6,$A$3:$A$45,1)):INDEX($B$3:$B$45,MATCH(CH6,$A$3:$A$45,1)+1),INDEX($A$3:$A$45,MATCH(CH6,$A$3:$A$45,1)):INDEX($A$3:$A$45,MATCH(CH6,$A$3:$A$45,1)+1))</f>
        <v>#N/A</v>
      </c>
      <c r="CJ6" s="74" t="e">
        <f t="shared" ref="CJ6:CJ45" si="14">IF(AND(CI6&lt;=750,CI6&gt;250),6,IF(AND(CI6=250,CI6&gt;120),4,IF(AND(CI6&lt;=120,CI6&gt;75),3,IF(AND(CI6&lt;=75,CI6&gt;40),2.5,IF(AND(CI6&lt;=40,CI6&gt;20),2,IF(AND(CI6&lt;=20,CI6&gt;14),1.5,IF(AND(CI6&lt;=14,CI6&gt;7),1.25,IF(AND(CI6&lt;=7,CI6&gt;3.5),1,IF(AND(CI6&lt;=3.5,CI6&gt;1.7),0.75,IF(AND(CI6&lt;=1.7,CI6&gt;0),0.5))))))))))</f>
        <v>#N/A</v>
      </c>
    </row>
    <row r="7" spans="1:88" x14ac:dyDescent="0.25">
      <c r="A7" s="2">
        <v>15</v>
      </c>
      <c r="B7" s="2">
        <v>17.5</v>
      </c>
      <c r="D7" s="52">
        <v>3</v>
      </c>
      <c r="E7" s="61">
        <f>SUM('FU Distribution'!AB69:$AB$109)+IF('FU Distribution'!$D$112=1,'FU Distribution'!$D$114,0)</f>
        <v>19.5</v>
      </c>
      <c r="F7" s="98">
        <f>FORECAST(E7,INDEX($B$3:$B$45,MATCH(E7,$A$3:$A$45,1)):INDEX($B$3:$B$45,MATCH(E7,$A$3:$A$45,1)+1),INDEX($A$3:$A$45,MATCH(E7,$A$3:$A$45,1)):INDEX($A$3:$A$45,MATCH(E7,$A$3:$A$45,1)+1))</f>
        <v>19.239999999999998</v>
      </c>
      <c r="G7" s="103">
        <f t="shared" ref="G7:G13" si="15">IF(AND(F7&lt;=750,F7&gt;250),6,IF(AND(F7&lt;=250,F7&gt;120),4,IF(AND(F7&lt;=120,F7&gt;75),3,IF(AND(F7&lt;=75,F7&gt;40),2.5,IF(AND(F7&lt;=40,F7&gt;20),2,IF(AND(F7&lt;=20,F7&gt;14),1.5,IF(AND(F7&lt;=14,F7&gt;7),1.25,IF(AND(F7&lt;=7,F7&gt;3.5),1,IF(AND(F7&lt;=3.5,F7&gt;1.7),0.75,IF(AND(F7&lt;=1.7,F7&gt;0),0.5))))))))))</f>
        <v>1.5</v>
      </c>
      <c r="H7" s="61">
        <f>SUM('FU Distribution'!AC69:$AC$109)</f>
        <v>17.700000000000003</v>
      </c>
      <c r="I7" s="98">
        <f>FORECAST(H7,INDEX($B$3:$B$45,MATCH(H7,$A$3:$A$45,1)):INDEX($B$3:$B$45,MATCH(H7,$A$3:$A$45,1)+1),INDEX($A$3:$A$45,MATCH(H7,$A$3:$A$45,1)):INDEX($A$3:$A$45,MATCH(H7,$A$3:$A$45,1)+1))</f>
        <v>18.544</v>
      </c>
      <c r="J7" s="99">
        <f t="shared" si="2"/>
        <v>1.5</v>
      </c>
      <c r="K7" s="75">
        <f>SUM('FU Distribution'!AE69:$AE$109)+IF('FU Distribution'!$D$112=2,'FU Distribution'!$D$114,0)</f>
        <v>14.100000000000001</v>
      </c>
      <c r="L7" s="100">
        <f>FORECAST(K7,INDEX($B$3:$B$45,MATCH(K7,$A$3:$A$45,1)):INDEX($B$3:$B$45,MATCH(K7,$A$3:$A$45,1)+1),INDEX($A$3:$A$45,MATCH(K7,$A$3:$A$45,1)):INDEX($A$3:$A$45,MATCH(K7,$A$3:$A$45,1)+1))</f>
        <v>16.895714285714284</v>
      </c>
      <c r="M7" s="101">
        <f>IF(AND(L7&lt;=750,L7&gt;250),6,IF(AND(L7&lt;=250,L7&gt;120),4,IF(AND(L7&lt;=120,L7&gt;75),3,IF(AND(L7&lt;=75,L7&gt;40),2.5,IF(AND(L7&lt;=40,L7&gt;20),2,IF(AND(L7&lt;=20,L7&gt;14),1.5,IF(AND(L7&lt;=14,L7&gt;7),1.25,IF(AND(L7&lt;=7,L7&gt;3.5),1,IF(AND(L7&lt;=3.5,L7&gt;1.7),0.75,IF(AND(L7&lt;=1.7,L7&gt;0),0.5))))))))))</f>
        <v>1.5</v>
      </c>
      <c r="N7" s="75">
        <f>SUM('FU Distribution'!AF69:$AF$109)</f>
        <v>14.700000000000001</v>
      </c>
      <c r="O7" s="100">
        <f>FORECAST(N7,INDEX($B$3:$B$45,MATCH(N7,$A$3:$A$45,1)):INDEX($B$3:$B$45,MATCH(N7,$A$3:$A$45,1)+1),INDEX($A$3:$A$45,MATCH(N7,$A$3:$A$45,1)):INDEX($A$3:$A$45,MATCH(N7,$A$3:$A$45,1)+1))</f>
        <v>17.298571428571428</v>
      </c>
      <c r="P7" s="101">
        <f t="shared" ref="P7:P13" si="16">IF(AND(O7&lt;=750,O7&gt;250),6,IF(AND(O7&lt;=250,O7&gt;120),4,IF(AND(O7&lt;=120,O7&gt;75),3,IF(AND(O7&lt;=75,O7&gt;40),2.5,IF(AND(O7&lt;=40,O7&gt;20),2,IF(AND(O7&lt;=20,O7&gt;14),1.5,IF(AND(O7&lt;=14,O7&gt;7),1.25,IF(AND(O7&lt;=7,O7&gt;3.5),1,IF(AND(O7&lt;=3.5,O7&gt;1.7),0.75,IF(AND(O7&lt;=1.7,O7&gt;0),0.5))))))))))</f>
        <v>1.5</v>
      </c>
      <c r="Q7" s="61">
        <f>SUM('FU Distribution'!AH69:$AH$109)+IF('FU Distribution'!$D$112=3,'FU Distribution'!$D$114,0)</f>
        <v>14.100000000000001</v>
      </c>
      <c r="R7" s="98">
        <f>FORECAST(Q7,INDEX($B$3:$B$45,MATCH(Q7,$A$3:$A$45,1)):INDEX($B$3:$B$45,MATCH(Q7,$A$3:$A$45,1)+1),INDEX($A$3:$A$45,MATCH(Q7,$A$3:$A$45,1)):INDEX($A$3:$A$45,MATCH(Q7,$A$3:$A$45,1)+1))</f>
        <v>16.895714285714284</v>
      </c>
      <c r="S7" s="99">
        <f>IF(AND(R7&lt;=750,R7&gt;250),6,IF(AND(R7&lt;=250,R7&gt;120),4,IF(AND(R7&lt;=120,R7&gt;75),3,IF(AND(R7&lt;=75,R7&gt;40),2.5,IF(AND(R7&lt;=40,R7&gt;20),2,IF(AND(R7&lt;=20,R7&gt;14),1.5,IF(AND(R7&lt;=14,R7&gt;7),1.25,IF(AND(R7&lt;=7,R7&gt;3.5),1,IF(AND(R7&lt;=3.5,R7&gt;1.7),0.75,IF(AND(R7&lt;=1.7,R7&gt;0),0.5))))))))))</f>
        <v>1.5</v>
      </c>
      <c r="T7" s="61">
        <f>SUM('FU Distribution'!AI69:$AI$109)</f>
        <v>14.700000000000001</v>
      </c>
      <c r="U7" s="98">
        <f>FORECAST(T7,INDEX($B$3:$B$45,MATCH(T7,$A$3:$A$45,1)):INDEX($B$3:$B$45,MATCH(T7,$A$3:$A$45,1)+1),INDEX($A$3:$A$45,MATCH(T7,$A$3:$A$45,1)):INDEX($A$3:$A$45,MATCH(T7,$A$3:$A$45,1)+1))</f>
        <v>17.298571428571428</v>
      </c>
      <c r="V7" s="99">
        <f t="shared" si="0"/>
        <v>1.5</v>
      </c>
      <c r="W7" s="75">
        <f>SUM('FU Distribution'!AK69:$AK$109)+IF('FU Distribution'!$D$112=4,'FU Distribution'!$D$114,0)</f>
        <v>14.100000000000001</v>
      </c>
      <c r="X7" s="100">
        <f>FORECAST(W7,INDEX($B$3:$B$45,MATCH(W7,$A$3:$A$45,1)):INDEX($B$3:$B$45,MATCH(W7,$A$3:$A$45,1)+1),INDEX($A$3:$A$45,MATCH(W7,$A$3:$A$45,1)):INDEX($A$3:$A$45,MATCH(W7,$A$3:$A$45,1)+1))</f>
        <v>16.895714285714284</v>
      </c>
      <c r="Y7" s="101">
        <f t="shared" si="1"/>
        <v>1.5</v>
      </c>
      <c r="Z7" s="75">
        <f>SUM('FU Distribution'!AL69:$AL$109)</f>
        <v>14.700000000000001</v>
      </c>
      <c r="AA7" s="100">
        <f>FORECAST(Z7,INDEX($B$3:$B$45,MATCH(Z7,$A$3:$A$45,1)):INDEX($B$3:$B$45,MATCH(Z7,$A$3:$A$45,1)+1),INDEX($A$3:$A$45,MATCH(Z7,$A$3:$A$45,1)):INDEX($A$3:$A$45,MATCH(Z7,$A$3:$A$45,1)+1))</f>
        <v>17.298571428571428</v>
      </c>
      <c r="AB7" s="101">
        <f t="shared" ref="AB7:AB13" si="17">IF(AND(AA7&lt;=750,AA7&gt;250),6,IF(AND(AA7&lt;=250,AA7&gt;120),4,IF(AND(AA7&lt;=120,AA7&gt;75),3,IF(AND(AA7&lt;=75,AA7&gt;40),2.5,IF(AND(AA7&lt;=40,AA7&gt;20),2,IF(AND(AA7&lt;=20,AA7&gt;14),1.5,IF(AND(AA7&lt;=14,AA7&gt;7),1.25,IF(AND(AA7&lt;=7,AA7&gt;3.5),1,IF(AND(AA7&lt;=3.5,AA7&gt;1.7),0.75,IF(AND(AA7&lt;=1.7,AA7&gt;0),0.5))))))))))</f>
        <v>1.5</v>
      </c>
      <c r="AC7" s="61">
        <f>SUM('FU Distribution'!AN69:$AN$109)+IF('FU Distribution'!$D$112=5,'FU Distribution'!$D$114,0)</f>
        <v>14.100000000000001</v>
      </c>
      <c r="AD7" s="98">
        <f>FORECAST(AC7,INDEX($B$3:$B$45,MATCH(AC7,$A$3:$A$45,1)):INDEX($B$3:$B$45,MATCH(AC7,$A$3:$A$45,1)+1),INDEX($A$3:$A$45,MATCH(AC7,$A$3:$A$45,1)):INDEX($A$3:$A$45,MATCH(AC7,$A$3:$A$45,1)+1))</f>
        <v>16.895714285714284</v>
      </c>
      <c r="AE7" s="99">
        <f>IF(AND(AD7&lt;=750,AD7&gt;250),6,IF(AND(AD7&lt;=250,AD7&gt;120),4,IF(AND(AD7&lt;=120,AD7&gt;75),3,IF(AND(AD7&lt;=75,AD7&gt;40),2.5,IF(AND(AD7&lt;=40,AD7&gt;20),2,IF(AND(AD7&lt;=20,AD7&gt;14),1.5,IF(AND(AD7&lt;=14,AD7&gt;7),1.25,IF(AND(AD7&lt;=7,AD7&gt;3.5),1,IF(AND(AD7&lt;=3.5,AD7&gt;1.7),0.75,IF(AND(AD7&lt;=1.7,AD7&gt;0),0.5))))))))))</f>
        <v>1.5</v>
      </c>
      <c r="AF7" s="61">
        <f>SUM('FU Distribution'!AO69:$AO$109)</f>
        <v>14.700000000000001</v>
      </c>
      <c r="AG7" s="98">
        <f>FORECAST(AF7,INDEX($B$3:$B$45,MATCH(AF7,$A$3:$A$45,1)):INDEX($B$3:$B$45,MATCH(AF7,$A$3:$A$45,1)+1),INDEX($A$3:$A$45,MATCH(AF7,$A$3:$A$45,1)):INDEX($A$3:$A$45,MATCH(AF7,$A$3:$A$45,1)+1))</f>
        <v>17.298571428571428</v>
      </c>
      <c r="AH7" s="99">
        <f t="shared" ref="AH7:AH13" si="18">IF(AND(AG7&lt;=750,AG7&gt;250),6,IF(AND(AG7&lt;=250,AG7&gt;120),4,IF(AND(AG7&lt;=120,AG7&gt;75),3,IF(AND(AG7&lt;=75,AG7&gt;40),2.5,IF(AND(AG7&lt;=40,AG7&gt;20),2,IF(AND(AG7&lt;=20,AG7&gt;14),1.5,IF(AND(AG7&lt;=14,AG7&gt;7),1.25,IF(AND(AG7&lt;=7,AG7&gt;3.5),1,IF(AND(AG7&lt;=3.5,AG7&gt;1.7),0.75,IF(AND(AG7&lt;=1.7,AG7&gt;0),0.5))))))))))</f>
        <v>1.5</v>
      </c>
      <c r="AI7" s="75">
        <f>SUM('FU Distribution'!AQ69:$AQ$109)+IF('FU Distribution'!$D$112=6,'FU Distribution'!$D$114,0)</f>
        <v>16.8</v>
      </c>
      <c r="AJ7" s="100">
        <f>FORECAST(AI7,INDEX($B$3:$B$45,MATCH(AI7,$A$3:$A$45,1)):INDEX($B$3:$B$45,MATCH(AI7,$A$3:$A$45,1)+1),INDEX($A$3:$A$45,MATCH(AI7,$A$3:$A$45,1)):INDEX($A$3:$A$45,MATCH(AI7,$A$3:$A$45,1)+1))</f>
        <v>18.195999999999998</v>
      </c>
      <c r="AK7" s="101">
        <f>IF(AND(AJ7&lt;=750,AJ7&gt;250),6,IF(AND(AJ7&lt;=250,AJ7&gt;120),4,IF(AND(AJ7&lt;=120,AJ7&gt;75),3,IF(AND(AJ7&lt;=75,AJ7&gt;40),2.5,IF(AND(AJ7&lt;=40,AJ7&gt;20),2,IF(AND(AJ7&lt;=20,AJ7&gt;14),1.5,IF(AND(AJ7&lt;=14,AJ7&gt;7),1.25,IF(AND(AJ7&lt;=7,AJ7&gt;3.5),1,IF(AND(AJ7&lt;=3.5,AJ7&gt;1.7),0.75,IF(AND(AJ7&lt;=1.7,AJ7&gt;0),0.5))))))))))</f>
        <v>1.5</v>
      </c>
      <c r="AL7" s="75">
        <f>SUM('FU Distribution'!AR69:$AR$109)</f>
        <v>15.200000000000001</v>
      </c>
      <c r="AM7" s="100">
        <f>FORECAST(AL7,INDEX($B$3:$B$45,MATCH(AL7,$A$3:$A$45,1)):INDEX($B$3:$B$45,MATCH(AL7,$A$3:$A$45,1)+1),INDEX($A$3:$A$45,MATCH(AL7,$A$3:$A$45,1)):INDEX($A$3:$A$45,MATCH(AL7,$A$3:$A$45,1)+1))</f>
        <v>17.577333333333332</v>
      </c>
      <c r="AN7" s="101">
        <f t="shared" ref="AN7:AN13" si="19">IF(AND(AM7&lt;=750,AM7&gt;250),6,IF(AND(AM7&lt;=250,AM7&gt;120),4,IF(AND(AM7&lt;=120,AM7&gt;75),3,IF(AND(AM7&lt;=75,AM7&gt;40),2.5,IF(AND(AM7&lt;=40,AM7&gt;20),2,IF(AND(AM7&lt;=20,AM7&gt;14),1.5,IF(AND(AM7&lt;=14,AM7&gt;7),1.25,IF(AND(AM7&lt;=7,AM7&gt;3.5),1,IF(AND(AM7&lt;=3.5,AM7&gt;1.7),0.75,IF(AND(AM7&lt;=1.7,AM7&gt;0),0.5))))))))))</f>
        <v>1.5</v>
      </c>
      <c r="AO7" s="61">
        <f>SUM('FU Distribution'!AT69:$AT$109)+IF('FU Distribution'!$D$112=7,'FU Distribution'!$D$114,0)</f>
        <v>14.100000000000001</v>
      </c>
      <c r="AP7" s="98">
        <f>FORECAST(AO7,INDEX($B$3:$B$45,MATCH(AO7,$A$3:$A$45,1)):INDEX($B$3:$B$45,MATCH(AO7,$A$3:$A$45,1)+1),INDEX($A$3:$A$45,MATCH(AO7,$A$3:$A$45,1)):INDEX($A$3:$A$45,MATCH(AO7,$A$3:$A$45,1)+1))</f>
        <v>16.895714285714284</v>
      </c>
      <c r="AQ7" s="99">
        <f>IF(AND(AP7&lt;=750,AP7&gt;250),6,IF(AND(AP7&lt;=250,AP7&gt;120),4,IF(AND(AP7&lt;=120,AP7&gt;75),3,IF(AND(AP7&lt;=75,AP7&gt;40),2.5,IF(AND(AP7&lt;=40,AP7&gt;20),2,IF(AND(AP7&lt;=20,AP7&gt;14),1.5,IF(AND(AP7&lt;=14,AP7&gt;7),1.25,IF(AND(AP7&lt;=7,AP7&gt;3.5),1,IF(AND(AP7&lt;=3.5,AP7&gt;1.7),0.75,IF(AND(AP7&lt;=1.7,AP7&gt;0),0.5))))))))))</f>
        <v>1.5</v>
      </c>
      <c r="AR7" s="61">
        <f>SUM('FU Distribution'!AU69:$AU$109)</f>
        <v>14.700000000000001</v>
      </c>
      <c r="AS7" s="98">
        <f>FORECAST(AR7,INDEX($B$3:$B$45,MATCH(AR7,$A$3:$A$45,1)):INDEX($B$3:$B$45,MATCH(AR7,$A$3:$A$45,1)+1),INDEX($A$3:$A$45,MATCH(AR7,$A$3:$A$45,1)):INDEX($A$3:$A$45,MATCH(AR7,$A$3:$A$45,1)+1))</f>
        <v>17.298571428571428</v>
      </c>
      <c r="AT7" s="99">
        <f t="shared" ref="AT7:AT13" si="20">IF(AND(AS7&lt;=750,AS7&gt;250),6,IF(AND(AS7&lt;=250,AS7&gt;120),4,IF(AND(AS7&lt;=120,AS7&gt;75),3,IF(AND(AS7&lt;=75,AS7&gt;40),2.5,IF(AND(AS7&lt;=40,AS7&gt;20),2,IF(AND(AS7&lt;=20,AS7&gt;14),1.5,IF(AND(AS7&lt;=14,AS7&gt;7),1.25,IF(AND(AS7&lt;=7,AS7&gt;3.5),1,IF(AND(AS7&lt;=3.5,AS7&gt;1.7),0.75,IF(AND(AS7&lt;=1.7,AS7&gt;0),0.5))))))))))</f>
        <v>1.5</v>
      </c>
      <c r="AU7" s="61">
        <f>SUM('FU Distribution'!AW69:$AW$109)+IF('FU Distribution'!$D$112=8,'FU Distribution'!$D$114,0)</f>
        <v>14.100000000000001</v>
      </c>
      <c r="AV7" s="98">
        <f>FORECAST(AU7,INDEX($B$3:$B$45,MATCH(AU7,$A$3:$A$45,1)):INDEX($B$3:$B$45,MATCH(AU7,$A$3:$A$45,1)+1),INDEX($A$3:$A$45,MATCH(AU7,$A$3:$A$45,1)):INDEX($A$3:$A$45,MATCH(AU7,$A$3:$A$45,1)+1))</f>
        <v>16.895714285714284</v>
      </c>
      <c r="AW7" s="99">
        <f>IF(AND(AV7&lt;=750,AV7&gt;250),6,IF(AND(AV7&lt;=250,AV7&gt;120),4,IF(AND(AV7&lt;=120,AV7&gt;75),3,IF(AND(AV7&lt;=75,AV7&gt;40),2.5,IF(AND(AV7&lt;=40,AV7&gt;20),2,IF(AND(AV7&lt;=20,AV7&gt;14),1.5,IF(AND(AV7&lt;=14,AV7&gt;7),1.25,IF(AND(AV7&lt;=7,AV7&gt;3.5),1,IF(AND(AV7&lt;=3.5,AV7&gt;1.7),0.75,IF(AND(AV7&lt;=1.7,AV7&gt;0),0.5))))))))))</f>
        <v>1.5</v>
      </c>
      <c r="AX7" s="61">
        <f>SUM('FU Distribution'!AX69:$AX$109)</f>
        <v>14.700000000000001</v>
      </c>
      <c r="AY7" s="98">
        <f>FORECAST(AX7,INDEX($B$3:$B$45,MATCH(AX7,$A$3:$A$45,1)):INDEX($B$3:$B$45,MATCH(AX7,$A$3:$A$45,1)+1),INDEX($A$3:$A$45,MATCH(AX7,$A$3:$A$45,1)):INDEX($A$3:$A$45,MATCH(AX7,$A$3:$A$45,1)+1))</f>
        <v>17.298571428571428</v>
      </c>
      <c r="AZ7" s="99">
        <f t="shared" ref="AZ7:AZ8" si="21">IF(AND(AY7&lt;=750,AY7&gt;250),6,IF(AND(AY7&lt;=250,AY7&gt;120),4,IF(AND(AY7&lt;=120,AY7&gt;75),3,IF(AND(AY7&lt;=75,AY7&gt;40),2.5,IF(AND(AY7&lt;=40,AY7&gt;20),2,IF(AND(AY7&lt;=20,AY7&gt;14),1.5,IF(AND(AY7&lt;=14,AY7&gt;7),1.25,IF(AND(AY7&lt;=7,AY7&gt;3.5),1,IF(AND(AY7&lt;=3.5,AY7&gt;1.7),0.75,IF(AND(AY7&lt;=1.7,AY7&gt;0),0.5))))))))))</f>
        <v>1.5</v>
      </c>
      <c r="BA7" s="75">
        <f>SUM('FU Distribution'!AZ69:$AZ$109)+IF('FU Distribution'!$D$112=9,'FU Distribution'!$D$114,0)</f>
        <v>14.100000000000001</v>
      </c>
      <c r="BB7" s="76">
        <f>FORECAST((SUM(BA7:BA1002)),INDEX($B$3:$B$45,MATCH((SUM(BA7:BA1002)),$A$3:$A$45,1)):INDEX($B$3:$B$45,MATCH((SUM(BA7:BA1002)),$A$3:$A$45,1)+1),INDEX($A$3:$A$45,MATCH((SUM(BA7:BA1002)),$A$3:$A$45,1)):INDEX($A$3:$A$45,MATCH((SUM(BA7:BA1002)),$A$3:$A$45,1)+1))</f>
        <v>22.603999999999999</v>
      </c>
      <c r="BC7" s="77">
        <f t="shared" si="3"/>
        <v>2</v>
      </c>
      <c r="BD7" s="75">
        <f>SUM('FU Distribution'!BA69:$BA$109)</f>
        <v>14.700000000000001</v>
      </c>
      <c r="BE7" s="76">
        <f>FORECAST((SUM(BD7:BD1002)),INDEX($B$3:$B$45,MATCH((SUM(BD7:BD1002)),$A$3:$A$45,1)):INDEX($B$3:$B$45,MATCH((SUM(BD7:BD1002)),$A$3:$A$45,1)+1),INDEX($A$3:$A$45,MATCH((SUM(BD7:BD1002)),$A$3:$A$45,1)):INDEX($A$3:$A$45,MATCH((SUM(BD7:BD1002)),$A$3:$A$45,1)+1))</f>
        <v>23.067999999999998</v>
      </c>
      <c r="BF7" s="77">
        <f t="shared" si="4"/>
        <v>2</v>
      </c>
      <c r="BG7" s="61">
        <f>SUM('FU Distribution'!BC69:$BC$109)+IF('FU Distribution'!$D$112=10,'FU Distribution'!$D$114,0)</f>
        <v>22.200000000000003</v>
      </c>
      <c r="BH7" s="62">
        <f>FORECAST((SUM(BG7:BG1002)),INDEX($B$3:$B$45,MATCH((SUM(BG7:BG1002)),$A$3:$A$45,1)):INDEX($B$3:$B$45,MATCH((SUM(BG7:BG1002)),$A$3:$A$45,1)+1),INDEX($A$3:$A$45,MATCH((SUM(BG7:BG1002)),$A$3:$A$45,1)):INDEX($A$3:$A$45,MATCH((SUM(BG7:BG1002)),$A$3:$A$45,1)+1))</f>
        <v>27.476000000000003</v>
      </c>
      <c r="BI7" s="74">
        <f t="shared" si="5"/>
        <v>2</v>
      </c>
      <c r="BJ7" s="61">
        <f>SUM('FU Distribution'!BD69:$BD$109)</f>
        <v>19.200000000000003</v>
      </c>
      <c r="BK7" s="62">
        <f>FORECAST((SUM(BJ7:BJ1002)),INDEX($B$3:$B$45,MATCH((SUM(BJ7:BJ1002)),$A$3:$A$45,1)):INDEX($B$3:$B$45,MATCH((SUM(BJ7:BJ1002)),$A$3:$A$45,1)+1),INDEX($A$3:$A$45,MATCH((SUM(BJ7:BJ1002)),$A$3:$A$45,1)):INDEX($A$3:$A$45,MATCH((SUM(BJ7:BJ1002)),$A$3:$A$45,1)+1))</f>
        <v>25.736000000000004</v>
      </c>
      <c r="BL7" s="74">
        <f t="shared" si="6"/>
        <v>2</v>
      </c>
      <c r="BM7" s="75">
        <f>SUM('FU Distribution'!BF69:$BF$109)+IF('FU Distribution'!$D$112=11,'FU Distribution'!$D$114,0)</f>
        <v>0</v>
      </c>
      <c r="BN7" s="76" t="e">
        <f>FORECAST((SUM(BM7:BM1002)),INDEX($B$3:$B$45,MATCH((SUM(BM7:BM1002)),$A$3:$A$45,1)):INDEX($B$3:$B$45,MATCH((SUM(BM7:BM1002)),$A$3:$A$45,1)+1),INDEX($A$3:$A$45,MATCH((SUM(BM7:BM1002)),$A$3:$A$45,1)):INDEX($A$3:$A$45,MATCH((SUM(BM7:BM1002)),$A$3:$A$45,1)+1))</f>
        <v>#N/A</v>
      </c>
      <c r="BO7" s="77" t="e">
        <f t="shared" si="7"/>
        <v>#N/A</v>
      </c>
      <c r="BP7" s="75">
        <f>SUM('FU Distribution'!BG69:$BG$109)</f>
        <v>0</v>
      </c>
      <c r="BQ7" s="76" t="e">
        <f>FORECAST((SUM(BP7:BP1002)),INDEX($B$3:$B$45,MATCH((SUM(BP7:BP1002)),$A$3:$A$45,1)):INDEX($B$3:$B$45,MATCH((SUM(BP7:BP1002)),$A$3:$A$45,1)+1),INDEX($A$3:$A$45,MATCH((SUM(BP7:BP1002)),$A$3:$A$45,1)):INDEX($A$3:$A$45,MATCH((SUM(BP7:BP1002)),$A$3:$A$45,1)+1))</f>
        <v>#N/A</v>
      </c>
      <c r="BR7" s="77" t="e">
        <f t="shared" si="8"/>
        <v>#N/A</v>
      </c>
      <c r="BS7" s="61">
        <f>SUM('FU Distribution'!BI69:$BI$109)+IF('FU Distribution'!$D$112=12,'FU Distribution'!$D$114,0)</f>
        <v>0</v>
      </c>
      <c r="BT7" s="62" t="e">
        <f>FORECAST(BS7,INDEX($B$3:$B$45,MATCH(BS7,$A$3:$A$45,1)):INDEX($B$3:$B$45,MATCH(BS7,$A$3:$A$45,1)+1),INDEX($A$3:$A$45,MATCH(BS7,$A$3:$A$45,1)):INDEX($A$3:$A$45,MATCH(BS7,$A$3:$A$45,1)+1))</f>
        <v>#N/A</v>
      </c>
      <c r="BU7" s="74" t="e">
        <f t="shared" si="9"/>
        <v>#N/A</v>
      </c>
      <c r="BV7" s="61">
        <f>SUM('FU Distribution'!BJ69:$BJ$109)</f>
        <v>0</v>
      </c>
      <c r="BW7" s="62" t="e">
        <f>FORECAST(BV7,INDEX($B$3:$B$45,MATCH(BV7,$A$3:$A$45,1)):INDEX($B$3:$B$45,MATCH(BV7,$A$3:$A$45,1)+1),INDEX($A$3:$A$45,MATCH(BV7,$A$3:$A$45,1)):INDEX($A$3:$A$45,MATCH(BV7,$A$3:$A$45,1)+1))</f>
        <v>#N/A</v>
      </c>
      <c r="BX7" s="74" t="e">
        <f t="shared" si="10"/>
        <v>#N/A</v>
      </c>
      <c r="BY7" s="75">
        <f>SUM('FU Distribution'!BL69:$BL$109)+IF('FU Distribution'!$D$112=13,'FU Distribution'!$D$114,0)</f>
        <v>0</v>
      </c>
      <c r="BZ7" s="76" t="e">
        <f>FORECAST(BY7,INDEX($B$3:$B$45,MATCH(BY7,$A$3:$A$45,1)):INDEX($B$3:$B$45,MATCH(BY7,$A$3:$A$45,1)+1),INDEX($A$3:$A$45,MATCH(BY7,$A$3:$A$45,1)):INDEX($A$3:$A$45,MATCH(BY7,$A$3:$A$45,1)+1))</f>
        <v>#N/A</v>
      </c>
      <c r="CA7" s="77" t="e">
        <f t="shared" si="11"/>
        <v>#N/A</v>
      </c>
      <c r="CB7" s="75">
        <f>SUM('FU Distribution'!BM69:$BM$109)</f>
        <v>0</v>
      </c>
      <c r="CC7" s="76" t="e">
        <f>FORECAST(CB7,INDEX($B$3:$B$45,MATCH(CB7,$A$3:$A$45,1)):INDEX($B$3:$B$45,MATCH(CB7,$A$3:$A$45,1)+1),INDEX($A$3:$A$45,MATCH(CB7,$A$3:$A$45,1)):INDEX($A$3:$A$45,MATCH(CB7,$A$3:$A$45,1)+1))</f>
        <v>#N/A</v>
      </c>
      <c r="CD7" s="77" t="e">
        <f t="shared" si="12"/>
        <v>#N/A</v>
      </c>
      <c r="CE7" s="61">
        <f>SUM('FU Distribution'!BO69:$BO$109)+IF('FU Distribution'!$D$112=13,'FU Distribution'!$D$114,0)</f>
        <v>0</v>
      </c>
      <c r="CF7" s="62" t="e">
        <f>FORECAST(CE7,INDEX($B$3:$B$45,MATCH(CE7,$A$3:$A$45,1)):INDEX($B$3:$B$45,MATCH(CE7,$A$3:$A$45,1)+1),INDEX($A$3:$A$45,MATCH(CE7,$A$3:$A$45,1)):INDEX($A$3:$A$45,MATCH(CE7,$A$3:$A$45,1)+1))</f>
        <v>#N/A</v>
      </c>
      <c r="CG7" s="74" t="e">
        <f t="shared" si="13"/>
        <v>#N/A</v>
      </c>
      <c r="CH7" s="61">
        <f>SUM('FU Distribution'!BP69:$BP$109)</f>
        <v>0</v>
      </c>
      <c r="CI7" s="62" t="e">
        <f>FORECAST(CH7,INDEX($B$3:$B$45,MATCH(CH7,$A$3:$A$45,1)):INDEX($B$3:$B$45,MATCH(CH7,$A$3:$A$45,1)+1),INDEX($A$3:$A$45,MATCH(CH7,$A$3:$A$45,1)):INDEX($A$3:$A$45,MATCH(CH7,$A$3:$A$45,1)+1))</f>
        <v>#N/A</v>
      </c>
      <c r="CJ7" s="74" t="e">
        <f t="shared" si="14"/>
        <v>#N/A</v>
      </c>
    </row>
    <row r="8" spans="1:88" x14ac:dyDescent="0.25">
      <c r="A8" s="2">
        <v>30</v>
      </c>
      <c r="B8" s="2">
        <v>23.3</v>
      </c>
      <c r="D8" s="52">
        <v>4</v>
      </c>
      <c r="E8" s="61">
        <f>SUM('FU Distribution'!AB70:$AB$109)+IF('FU Distribution'!$D$112=1,'FU Distribution'!$D$114,0)</f>
        <v>12.100000000000001</v>
      </c>
      <c r="F8" s="98">
        <f>FORECAST(E8,INDEX($B$3:$B$45,MATCH(E8,$A$3:$A$45,1)):INDEX($B$3:$B$45,MATCH(E8,$A$3:$A$45,1)+1),INDEX($A$3:$A$45,MATCH(E8,$A$3:$A$45,1)):INDEX($A$3:$A$45,MATCH(E8,$A$3:$A$45,1)+1))</f>
        <v>15.552857142857144</v>
      </c>
      <c r="G8" s="102">
        <f t="shared" si="15"/>
        <v>1.5</v>
      </c>
      <c r="H8" s="61">
        <f>SUM('FU Distribution'!AC70:$AC$109)</f>
        <v>11.3</v>
      </c>
      <c r="I8" s="98">
        <f>FORECAST(H8,INDEX($B$3:$B$45,MATCH(H8,$A$3:$A$45,1)):INDEX($B$3:$B$45,MATCH(H8,$A$3:$A$45,1)+1),INDEX($A$3:$A$45,MATCH(H8,$A$3:$A$45,1)):INDEX($A$3:$A$45,MATCH(H8,$A$3:$A$45,1)+1))</f>
        <v>15.015714285714285</v>
      </c>
      <c r="J8" s="99">
        <f t="shared" si="2"/>
        <v>1.5</v>
      </c>
      <c r="K8" s="75">
        <f>SUM('FU Distribution'!AE70:$AE$109)+IF('FU Distribution'!$D$112=2,'FU Distribution'!$D$114,0)</f>
        <v>9.4</v>
      </c>
      <c r="L8" s="100">
        <f>FORECAST(K8,INDEX($B$3:$B$45,MATCH(K8,$A$3:$A$45,1)):INDEX($B$3:$B$45,MATCH(K8,$A$3:$A$45,1)+1),INDEX($A$3:$A$45,MATCH(K8,$A$3:$A$45,1)):INDEX($A$3:$A$45,MATCH(K8,$A$3:$A$45,1)+1))</f>
        <v>13.740000000000002</v>
      </c>
      <c r="M8" s="97">
        <f>IF(AND(L8&lt;=750,L8&gt;250),6,IF(AND(L8&lt;=250,L8&gt;120),4,IF(AND(L8&lt;=120,L8&gt;75),3,IF(AND(L8&lt;=75,L8&gt;40),2.5,IF(AND(L8&lt;=40,L8&gt;20),2,IF(AND(L8&lt;=20,L8&gt;14),1.5,IF(AND(L8&lt;=14,L8&gt;7),1.25,IF(AND(L8&lt;=7,L8&gt;3.5),1,IF(AND(L8&lt;=3.5,L8&gt;1.7),0.75,IF(AND(L8&lt;=1.7,L8&gt;0),0.5))))))))))</f>
        <v>1.25</v>
      </c>
      <c r="N8" s="75">
        <f>SUM('FU Distribution'!AF70:$AF$109)</f>
        <v>9.8000000000000007</v>
      </c>
      <c r="O8" s="100">
        <f>FORECAST(N8,INDEX($B$3:$B$45,MATCH(N8,$A$3:$A$45,1)):INDEX($B$3:$B$45,MATCH(N8,$A$3:$A$45,1)+1),INDEX($A$3:$A$45,MATCH(N8,$A$3:$A$45,1)):INDEX($A$3:$A$45,MATCH(N8,$A$3:$A$45,1)+1))</f>
        <v>14.008571428571429</v>
      </c>
      <c r="P8" s="97">
        <f t="shared" si="16"/>
        <v>1.5</v>
      </c>
      <c r="Q8" s="61">
        <f>SUM('FU Distribution'!AH70:$AH$109)+IF('FU Distribution'!$D$112=3,'FU Distribution'!$D$114,0)</f>
        <v>9.4</v>
      </c>
      <c r="R8" s="98">
        <f>FORECAST(Q8,INDEX($B$3:$B$45,MATCH(Q8,$A$3:$A$45,1)):INDEX($B$3:$B$45,MATCH(Q8,$A$3:$A$45,1)+1),INDEX($A$3:$A$45,MATCH(Q8,$A$3:$A$45,1)):INDEX($A$3:$A$45,MATCH(Q8,$A$3:$A$45,1)+1))</f>
        <v>13.740000000000002</v>
      </c>
      <c r="S8" s="97">
        <f>IF(AND(R8&lt;=750,R8&gt;250),6,IF(AND(R8&lt;=250,R8&gt;120),4,IF(AND(R8&lt;=120,R8&gt;75),3,IF(AND(R8&lt;=75,R8&gt;40),2.5,IF(AND(R8&lt;=40,R8&gt;20),2,IF(AND(R8&lt;=20,R8&gt;14),1.5,IF(AND(R8&lt;=14,R8&gt;7),1.25,IF(AND(R8&lt;=7,R8&gt;3.5),1,IF(AND(R8&lt;=3.5,R8&gt;1.7),0.75,IF(AND(R8&lt;=1.7,R8&gt;0),0.5))))))))))</f>
        <v>1.25</v>
      </c>
      <c r="T8" s="61">
        <f>SUM('FU Distribution'!AI70:$AI$109)</f>
        <v>9.8000000000000007</v>
      </c>
      <c r="U8" s="98">
        <f>FORECAST(T8,INDEX($B$3:$B$45,MATCH(T8,$A$3:$A$45,1)):INDEX($B$3:$B$45,MATCH(T8,$A$3:$A$45,1)+1),INDEX($A$3:$A$45,MATCH(T8,$A$3:$A$45,1)):INDEX($A$3:$A$45,MATCH(T8,$A$3:$A$45,1)+1))</f>
        <v>14.008571428571429</v>
      </c>
      <c r="V8" s="97">
        <f t="shared" si="0"/>
        <v>1.5</v>
      </c>
      <c r="W8" s="75">
        <f>SUM('FU Distribution'!AK70:$AK$109)+IF('FU Distribution'!$D$112=4,'FU Distribution'!$D$114,0)</f>
        <v>9.4</v>
      </c>
      <c r="X8" s="100">
        <f>FORECAST(W8,INDEX($B$3:$B$45,MATCH(W8,$A$3:$A$45,1)):INDEX($B$3:$B$45,MATCH(W8,$A$3:$A$45,1)+1),INDEX($A$3:$A$45,MATCH(W8,$A$3:$A$45,1)):INDEX($A$3:$A$45,MATCH(W8,$A$3:$A$45,1)+1))</f>
        <v>13.740000000000002</v>
      </c>
      <c r="Y8" s="97">
        <f t="shared" si="1"/>
        <v>1.25</v>
      </c>
      <c r="Z8" s="75">
        <f>SUM('FU Distribution'!AL70:$AL$109)</f>
        <v>9.8000000000000007</v>
      </c>
      <c r="AA8" s="100">
        <f>FORECAST(Z8,INDEX($B$3:$B$45,MATCH(Z8,$A$3:$A$45,1)):INDEX($B$3:$B$45,MATCH(Z8,$A$3:$A$45,1)+1),INDEX($A$3:$A$45,MATCH(Z8,$A$3:$A$45,1)):INDEX($A$3:$A$45,MATCH(Z8,$A$3:$A$45,1)+1))</f>
        <v>14.008571428571429</v>
      </c>
      <c r="AB8" s="97">
        <f t="shared" si="17"/>
        <v>1.5</v>
      </c>
      <c r="AC8" s="61">
        <f>SUM('FU Distribution'!AN70:$AN$109)+IF('FU Distribution'!$D$112=5,'FU Distribution'!$D$114,0)</f>
        <v>9.4</v>
      </c>
      <c r="AD8" s="98">
        <f>FORECAST(AC8,INDEX($B$3:$B$45,MATCH(AC8,$A$3:$A$45,1)):INDEX($B$3:$B$45,MATCH(AC8,$A$3:$A$45,1)+1),INDEX($A$3:$A$45,MATCH(AC8,$A$3:$A$45,1)):INDEX($A$3:$A$45,MATCH(AC8,$A$3:$A$45,1)+1))</f>
        <v>13.740000000000002</v>
      </c>
      <c r="AE8" s="97">
        <f>IF(AND(AD8&lt;=750,AD8&gt;250),6,IF(AND(AD8&lt;=250,AD8&gt;120),4,IF(AND(AD8&lt;=120,AD8&gt;75),3,IF(AND(AD8&lt;=75,AD8&gt;40),2.5,IF(AND(AD8&lt;=40,AD8&gt;20),2,IF(AND(AD8&lt;=20,AD8&gt;14),1.5,IF(AND(AD8&lt;=14,AD8&gt;7),1.25,IF(AND(AD8&lt;=7,AD8&gt;3.5),1,IF(AND(AD8&lt;=3.5,AD8&gt;1.7),0.75,IF(AND(AD8&lt;=1.7,AD8&gt;0),0.5))))))))))</f>
        <v>1.25</v>
      </c>
      <c r="AF8" s="61">
        <f>SUM('FU Distribution'!AO70:$AO$109)</f>
        <v>9.8000000000000007</v>
      </c>
      <c r="AG8" s="98">
        <f>FORECAST(AF8,INDEX($B$3:$B$45,MATCH(AF8,$A$3:$A$45,1)):INDEX($B$3:$B$45,MATCH(AF8,$A$3:$A$45,1)+1),INDEX($A$3:$A$45,MATCH(AF8,$A$3:$A$45,1)):INDEX($A$3:$A$45,MATCH(AF8,$A$3:$A$45,1)+1))</f>
        <v>14.008571428571429</v>
      </c>
      <c r="AH8" s="97">
        <f t="shared" si="18"/>
        <v>1.5</v>
      </c>
      <c r="AI8" s="75">
        <f>SUM('FU Distribution'!AQ70:$AQ$109)+IF('FU Distribution'!$D$112=6,'FU Distribution'!$D$114,0)</f>
        <v>12.100000000000001</v>
      </c>
      <c r="AJ8" s="100">
        <f>FORECAST(AI8,INDEX($B$3:$B$45,MATCH(AI8,$A$3:$A$45,1)):INDEX($B$3:$B$45,MATCH(AI8,$A$3:$A$45,1)+1),INDEX($A$3:$A$45,MATCH(AI8,$A$3:$A$45,1)):INDEX($A$3:$A$45,MATCH(AI8,$A$3:$A$45,1)+1))</f>
        <v>15.552857142857144</v>
      </c>
      <c r="AK8" s="97">
        <f>IF(AND(AJ8&lt;=750,AJ8&gt;250),6,IF(AND(AJ8&lt;=250,AJ8&gt;120),4,IF(AND(AJ8&lt;=120,AJ8&gt;75),3,IF(AND(AJ8&lt;=75,AJ8&gt;40),2.5,IF(AND(AJ8&lt;=40,AJ8&gt;20),2,IF(AND(AJ8&lt;=20,AJ8&gt;14),1.5,IF(AND(AJ8&lt;=14,AJ8&gt;7),1.25,IF(AND(AJ8&lt;=7,AJ8&gt;3.5),1,IF(AND(AJ8&lt;=3.5,AJ8&gt;1.7),0.75,IF(AND(AJ8&lt;=1.7,AJ8&gt;0),0.5))))))))))</f>
        <v>1.5</v>
      </c>
      <c r="AL8" s="75">
        <f>SUM('FU Distribution'!AR70:$AR$109)</f>
        <v>10.3</v>
      </c>
      <c r="AM8" s="100">
        <f>FORECAST(AL8,INDEX($B$3:$B$45,MATCH(AL8,$A$3:$A$45,1)):INDEX($B$3:$B$45,MATCH(AL8,$A$3:$A$45,1)+1),INDEX($A$3:$A$45,MATCH(AL8,$A$3:$A$45,1)):INDEX($A$3:$A$45,MATCH(AL8,$A$3:$A$45,1)+1))</f>
        <v>14.344285714285714</v>
      </c>
      <c r="AN8" s="97">
        <f t="shared" si="19"/>
        <v>1.5</v>
      </c>
      <c r="AO8" s="61">
        <f>SUM('FU Distribution'!AT70:$AT$109)+IF('FU Distribution'!$D$112=7,'FU Distribution'!$D$114,0)</f>
        <v>9.4</v>
      </c>
      <c r="AP8" s="98">
        <f>FORECAST(AO8,INDEX($B$3:$B$45,MATCH(AO8,$A$3:$A$45,1)):INDEX($B$3:$B$45,MATCH(AO8,$A$3:$A$45,1)+1),INDEX($A$3:$A$45,MATCH(AO8,$A$3:$A$45,1)):INDEX($A$3:$A$45,MATCH(AO8,$A$3:$A$45,1)+1))</f>
        <v>13.740000000000002</v>
      </c>
      <c r="AQ8" s="97">
        <f>IF(AND(AP8&lt;=750,AP8&gt;250),6,IF(AND(AP8&lt;=250,AP8&gt;120),4,IF(AND(AP8&lt;=120,AP8&gt;75),3,IF(AND(AP8&lt;=75,AP8&gt;40),2.5,IF(AND(AP8&lt;=40,AP8&gt;20),2,IF(AND(AP8&lt;=20,AP8&gt;14),1.5,IF(AND(AP8&lt;=14,AP8&gt;7),1.25,IF(AND(AP8&lt;=7,AP8&gt;3.5),1,IF(AND(AP8&lt;=3.5,AP8&gt;1.7),0.75,IF(AND(AP8&lt;=1.7,AP8&gt;0),0.5))))))))))</f>
        <v>1.25</v>
      </c>
      <c r="AR8" s="61">
        <f>SUM('FU Distribution'!AU70:$AU$109)</f>
        <v>9.8000000000000007</v>
      </c>
      <c r="AS8" s="98">
        <f>FORECAST(AR8,INDEX($B$3:$B$45,MATCH(AR8,$A$3:$A$45,1)):INDEX($B$3:$B$45,MATCH(AR8,$A$3:$A$45,1)+1),INDEX($A$3:$A$45,MATCH(AR8,$A$3:$A$45,1)):INDEX($A$3:$A$45,MATCH(AR8,$A$3:$A$45,1)+1))</f>
        <v>14.008571428571429</v>
      </c>
      <c r="AT8" s="97">
        <f t="shared" si="20"/>
        <v>1.5</v>
      </c>
      <c r="AU8" s="61">
        <f>SUM('FU Distribution'!AW70:$AW$109)+IF('FU Distribution'!$D$112=8,'FU Distribution'!$D$114,0)</f>
        <v>9.4</v>
      </c>
      <c r="AV8" s="98">
        <f>FORECAST(AU8,INDEX($B$3:$B$45,MATCH(AU8,$A$3:$A$45,1)):INDEX($B$3:$B$45,MATCH(AU8,$A$3:$A$45,1)+1),INDEX($A$3:$A$45,MATCH(AU8,$A$3:$A$45,1)):INDEX($A$3:$A$45,MATCH(AU8,$A$3:$A$45,1)+1))</f>
        <v>13.740000000000002</v>
      </c>
      <c r="AW8" s="97">
        <f>IF(AND(AV8&lt;=750,AV8&gt;250),6,IF(AND(AV8&lt;=250,AV8&gt;120),4,IF(AND(AV8&lt;=120,AV8&gt;75),3,IF(AND(AV8&lt;=75,AV8&gt;40),2.5,IF(AND(AV8&lt;=40,AV8&gt;20),2,IF(AND(AV8&lt;=20,AV8&gt;14),1.5,IF(AND(AV8&lt;=14,AV8&gt;7),1.25,IF(AND(AV8&lt;=7,AV8&gt;3.5),1,IF(AND(AV8&lt;=3.5,AV8&gt;1.7),0.75,IF(AND(AV8&lt;=1.7,AV8&gt;0),0.5))))))))))</f>
        <v>1.25</v>
      </c>
      <c r="AX8" s="61">
        <f>SUM('FU Distribution'!AX70:$AX$109)</f>
        <v>9.8000000000000007</v>
      </c>
      <c r="AY8" s="98">
        <f>FORECAST(AX8,INDEX($B$3:$B$45,MATCH(AX8,$A$3:$A$45,1)):INDEX($B$3:$B$45,MATCH(AX8,$A$3:$A$45,1)+1),INDEX($A$3:$A$45,MATCH(AX8,$A$3:$A$45,1)):INDEX($A$3:$A$45,MATCH(AX8,$A$3:$A$45,1)+1))</f>
        <v>14.008571428571429</v>
      </c>
      <c r="AZ8" s="97">
        <f t="shared" si="21"/>
        <v>1.5</v>
      </c>
      <c r="BA8" s="75">
        <f>SUM('FU Distribution'!AZ70:$AZ$109)+IF('FU Distribution'!$D$112=9,'FU Distribution'!$D$114,0)</f>
        <v>9.4</v>
      </c>
      <c r="BB8" s="76">
        <f>FORECAST((SUM(BA8:BA1003)),INDEX($B$3:$B$45,MATCH((SUM(BA8:BA1003)),$A$3:$A$45,1)):INDEX($B$3:$B$45,MATCH((SUM(BA8:BA1003)),$A$3:$A$45,1)+1),INDEX($A$3:$A$45,MATCH((SUM(BA8:BA1003)),$A$3:$A$45,1)):INDEX($A$3:$A$45,MATCH((SUM(BA8:BA1003)),$A$3:$A$45,1)+1))</f>
        <v>16.895714285714284</v>
      </c>
      <c r="BC8" s="77">
        <f t="shared" si="3"/>
        <v>1.5</v>
      </c>
      <c r="BD8" s="75">
        <f>SUM('FU Distribution'!BA70:$BA$109)</f>
        <v>9.8000000000000007</v>
      </c>
      <c r="BE8" s="76">
        <f>FORECAST((SUM(BD8:BD1003)),INDEX($B$3:$B$45,MATCH((SUM(BD8:BD1003)),$A$3:$A$45,1)):INDEX($B$3:$B$45,MATCH((SUM(BD8:BD1003)),$A$3:$A$45,1)+1),INDEX($A$3:$A$45,MATCH((SUM(BD8:BD1003)),$A$3:$A$45,1)):INDEX($A$3:$A$45,MATCH((SUM(BD8:BD1003)),$A$3:$A$45,1)+1))</f>
        <v>17.298571428571428</v>
      </c>
      <c r="BF8" s="77">
        <f t="shared" si="4"/>
        <v>1.5</v>
      </c>
      <c r="BG8" s="61">
        <f>SUM('FU Distribution'!BC70:$BC$109)+IF('FU Distribution'!$D$112=10,'FU Distribution'!$D$114,0)</f>
        <v>14.8</v>
      </c>
      <c r="BH8" s="62">
        <f>FORECAST((SUM(BG8:BG1003)),INDEX($B$3:$B$45,MATCH((SUM(BG8:BG1003)),$A$3:$A$45,1)):INDEX($B$3:$B$45,MATCH((SUM(BG8:BG1003)),$A$3:$A$45,1)+1),INDEX($A$3:$A$45,MATCH((SUM(BG8:BG1003)),$A$3:$A$45,1)):INDEX($A$3:$A$45,MATCH((SUM(BG8:BG1003)),$A$3:$A$45,1)+1))</f>
        <v>20.283999999999999</v>
      </c>
      <c r="BI8" s="74">
        <f t="shared" si="5"/>
        <v>2</v>
      </c>
      <c r="BJ8" s="61">
        <f>SUM('FU Distribution'!BD70:$BD$109)</f>
        <v>12.8</v>
      </c>
      <c r="BK8" s="62">
        <f>FORECAST((SUM(BJ8:BJ1003)),INDEX($B$3:$B$45,MATCH((SUM(BJ8:BJ1003)),$A$3:$A$45,1)):INDEX($B$3:$B$45,MATCH((SUM(BJ8:BJ1003)),$A$3:$A$45,1)+1),INDEX($A$3:$A$45,MATCH((SUM(BJ8:BJ1003)),$A$3:$A$45,1)):INDEX($A$3:$A$45,MATCH((SUM(BJ8:BJ1003)),$A$3:$A$45,1)+1))</f>
        <v>19.124000000000002</v>
      </c>
      <c r="BL8" s="74">
        <f t="shared" si="6"/>
        <v>1.5</v>
      </c>
      <c r="BM8" s="75">
        <f>SUM('FU Distribution'!BF70:$BF$109)+IF('FU Distribution'!$D$112=11,'FU Distribution'!$D$114,0)</f>
        <v>0</v>
      </c>
      <c r="BN8" s="76" t="e">
        <f>FORECAST((SUM(BM8:BM1003)),INDEX($B$3:$B$45,MATCH((SUM(BM8:BM1003)),$A$3:$A$45,1)):INDEX($B$3:$B$45,MATCH((SUM(BM8:BM1003)),$A$3:$A$45,1)+1),INDEX($A$3:$A$45,MATCH((SUM(BM8:BM1003)),$A$3:$A$45,1)):INDEX($A$3:$A$45,MATCH((SUM(BM8:BM1003)),$A$3:$A$45,1)+1))</f>
        <v>#N/A</v>
      </c>
      <c r="BO8" s="77" t="e">
        <f t="shared" si="7"/>
        <v>#N/A</v>
      </c>
      <c r="BP8" s="75">
        <f>SUM('FU Distribution'!BG70:$BG$109)</f>
        <v>0</v>
      </c>
      <c r="BQ8" s="76" t="e">
        <f>FORECAST((SUM(BP8:BP1003)),INDEX($B$3:$B$45,MATCH((SUM(BP8:BP1003)),$A$3:$A$45,1)):INDEX($B$3:$B$45,MATCH((SUM(BP8:BP1003)),$A$3:$A$45,1)+1),INDEX($A$3:$A$45,MATCH((SUM(BP8:BP1003)),$A$3:$A$45,1)):INDEX($A$3:$A$45,MATCH((SUM(BP8:BP1003)),$A$3:$A$45,1)+1))</f>
        <v>#N/A</v>
      </c>
      <c r="BR8" s="77" t="e">
        <f t="shared" si="8"/>
        <v>#N/A</v>
      </c>
      <c r="BS8" s="61">
        <f>SUM('FU Distribution'!BI70:$BI$109)+IF('FU Distribution'!$D$112=12,'FU Distribution'!$D$114,0)</f>
        <v>0</v>
      </c>
      <c r="BT8" s="62" t="e">
        <f>FORECAST(BS8,INDEX($B$3:$B$45,MATCH(BS8,$A$3:$A$45,1)):INDEX($B$3:$B$45,MATCH(BS8,$A$3:$A$45,1)+1),INDEX($A$3:$A$45,MATCH(BS8,$A$3:$A$45,1)):INDEX($A$3:$A$45,MATCH(BS8,$A$3:$A$45,1)+1))</f>
        <v>#N/A</v>
      </c>
      <c r="BU8" s="74" t="e">
        <f t="shared" si="9"/>
        <v>#N/A</v>
      </c>
      <c r="BV8" s="61">
        <f>SUM('FU Distribution'!BJ70:$BJ$109)</f>
        <v>0</v>
      </c>
      <c r="BW8" s="62" t="e">
        <f>FORECAST(BV8,INDEX($B$3:$B$45,MATCH(BV8,$A$3:$A$45,1)):INDEX($B$3:$B$45,MATCH(BV8,$A$3:$A$45,1)+1),INDEX($A$3:$A$45,MATCH(BV8,$A$3:$A$45,1)):INDEX($A$3:$A$45,MATCH(BV8,$A$3:$A$45,1)+1))</f>
        <v>#N/A</v>
      </c>
      <c r="BX8" s="74" t="e">
        <f t="shared" si="10"/>
        <v>#N/A</v>
      </c>
      <c r="BY8" s="75">
        <f>SUM('FU Distribution'!BL70:$BL$109)+IF('FU Distribution'!$D$112=13,'FU Distribution'!$D$114,0)</f>
        <v>0</v>
      </c>
      <c r="BZ8" s="76" t="e">
        <f>FORECAST(BY8,INDEX($B$3:$B$45,MATCH(BY8,$A$3:$A$45,1)):INDEX($B$3:$B$45,MATCH(BY8,$A$3:$A$45,1)+1),INDEX($A$3:$A$45,MATCH(BY8,$A$3:$A$45,1)):INDEX($A$3:$A$45,MATCH(BY8,$A$3:$A$45,1)+1))</f>
        <v>#N/A</v>
      </c>
      <c r="CA8" s="77" t="e">
        <f t="shared" si="11"/>
        <v>#N/A</v>
      </c>
      <c r="CB8" s="75">
        <f>SUM('FU Distribution'!BM70:$BM$109)</f>
        <v>0</v>
      </c>
      <c r="CC8" s="76" t="e">
        <f>FORECAST(CB8,INDEX($B$3:$B$45,MATCH(CB8,$A$3:$A$45,1)):INDEX($B$3:$B$45,MATCH(CB8,$A$3:$A$45,1)+1),INDEX($A$3:$A$45,MATCH(CB8,$A$3:$A$45,1)):INDEX($A$3:$A$45,MATCH(CB8,$A$3:$A$45,1)+1))</f>
        <v>#N/A</v>
      </c>
      <c r="CD8" s="77" t="e">
        <f t="shared" si="12"/>
        <v>#N/A</v>
      </c>
      <c r="CE8" s="61">
        <f>SUM('FU Distribution'!BO70:$BO$109)+IF('FU Distribution'!$D$112=13,'FU Distribution'!$D$114,0)</f>
        <v>0</v>
      </c>
      <c r="CF8" s="62" t="e">
        <f>FORECAST(CE8,INDEX($B$3:$B$45,MATCH(CE8,$A$3:$A$45,1)):INDEX($B$3:$B$45,MATCH(CE8,$A$3:$A$45,1)+1),INDEX($A$3:$A$45,MATCH(CE8,$A$3:$A$45,1)):INDEX($A$3:$A$45,MATCH(CE8,$A$3:$A$45,1)+1))</f>
        <v>#N/A</v>
      </c>
      <c r="CG8" s="74" t="e">
        <f t="shared" si="13"/>
        <v>#N/A</v>
      </c>
      <c r="CH8" s="61">
        <f>SUM('FU Distribution'!BP70:$BP$109)</f>
        <v>0</v>
      </c>
      <c r="CI8" s="62" t="e">
        <f>FORECAST(CH8,INDEX($B$3:$B$45,MATCH(CH8,$A$3:$A$45,1)):INDEX($B$3:$B$45,MATCH(CH8,$A$3:$A$45,1)+1),INDEX($A$3:$A$45,MATCH(CH8,$A$3:$A$45,1)):INDEX($A$3:$A$45,MATCH(CH8,$A$3:$A$45,1)+1))</f>
        <v>#N/A</v>
      </c>
      <c r="CJ8" s="74" t="e">
        <f t="shared" si="14"/>
        <v>#N/A</v>
      </c>
    </row>
    <row r="9" spans="1:88" x14ac:dyDescent="0.25">
      <c r="A9" s="2">
        <v>50</v>
      </c>
      <c r="B9" s="2">
        <v>29.1</v>
      </c>
      <c r="D9" s="52">
        <v>5</v>
      </c>
      <c r="E9" s="61">
        <f>SUM('FU Distribution'!AB71:$AB$109)+IF('FU Distribution'!$D$112=1,'FU Distribution'!$D$114,0)</f>
        <v>4.7</v>
      </c>
      <c r="F9" s="98">
        <f>FORECAST(E9,INDEX($B$3:$B$45,MATCH(E9,$A$3:$A$45,1)):INDEX($B$3:$B$45,MATCH(E9,$A$3:$A$45,1)+1),INDEX($A$3:$A$45,MATCH(E9,$A$3:$A$45,1)):INDEX($A$3:$A$45,MATCH(E9,$A$3:$A$45,1)+1))</f>
        <v>8.84</v>
      </c>
      <c r="G9" s="99">
        <f>IF(AND(F9&lt;=750,F9&gt;250),6,IF(AND(F9&lt;=250,F9&gt;120),4,IF(AND(F9&lt;=120,F9&gt;75),3,IF(AND(F9&lt;=75,F9&gt;40),2.5,IF(AND(F9&lt;=40,F9&gt;20),2,IF(AND(F9&lt;=20,F9&gt;14),1.5,IF(AND(F9&lt;=14,F9&gt;7),1.25,IF(AND(F9&lt;=7,F9&gt;3.5),1,IF(AND(F9&lt;=3.5,F9&gt;1.7),0.75,IF(AND(F9&lt;=1.7,F9&gt;0),0.5,IF(AND(F9&lt;=0,F9&gt;-1),0)))))))))))</f>
        <v>1.25</v>
      </c>
      <c r="H9" s="61">
        <f>SUM('FU Distribution'!AC71:$AC$109)</f>
        <v>4.9000000000000004</v>
      </c>
      <c r="I9" s="98">
        <f>FORECAST(H9,INDEX($B$3:$B$45,MATCH(H9,$A$3:$A$45,1)):INDEX($B$3:$B$45,MATCH(H9,$A$3:$A$45,1)+1),INDEX($A$3:$A$45,MATCH(H9,$A$3:$A$45,1)):INDEX($A$3:$A$45,MATCH(H9,$A$3:$A$45,1)+1))</f>
        <v>9.0800000000000018</v>
      </c>
      <c r="J9" s="99">
        <f t="shared" si="2"/>
        <v>1.25</v>
      </c>
      <c r="K9" s="75">
        <f>SUM('FU Distribution'!AE71:$AE$109)+IF('FU Distribution'!$D$112=2,'FU Distribution'!$D$114,0)</f>
        <v>4.7</v>
      </c>
      <c r="L9" s="100">
        <f>FORECAST(K9,INDEX($B$3:$B$45,MATCH(K9,$A$3:$A$45,1)):INDEX($B$3:$B$45,MATCH(K9,$A$3:$A$45,1)+1),INDEX($A$3:$A$45,MATCH(K9,$A$3:$A$45,1)):INDEX($A$3:$A$45,MATCH(K9,$A$3:$A$45,1)+1))</f>
        <v>8.84</v>
      </c>
      <c r="M9" s="101">
        <f>IF(AND(L9&lt;=750,L9&gt;250),6,IF(AND(L9&lt;=250,L9&gt;120),4,IF(AND(L9&lt;=120,L9&gt;75),3,IF(AND(L9&lt;=75,L9&gt;40),2.5,IF(AND(L9&lt;=40,L9&gt;20),2,IF(AND(L9&lt;=20,L9&gt;14),1.5,IF(AND(L9&lt;=14,L9&gt;7),1.25,IF(AND(L9&lt;=7,L9&gt;3.5),1,IF(AND(L9&lt;=3.5,L9&gt;1.7),0.75,IF(AND(L9&lt;=1.7,L9&gt;0),0.5,IF(AND(L9&lt;=0,L9&gt;-1),0)))))))))))</f>
        <v>1.25</v>
      </c>
      <c r="N9" s="75">
        <f>SUM('FU Distribution'!AF71:$AF$109)</f>
        <v>4.9000000000000004</v>
      </c>
      <c r="O9" s="100">
        <f>FORECAST(N9,INDEX($B$3:$B$45,MATCH(N9,$A$3:$A$45,1)):INDEX($B$3:$B$45,MATCH(N9,$A$3:$A$45,1)+1),INDEX($A$3:$A$45,MATCH(N9,$A$3:$A$45,1)):INDEX($A$3:$A$45,MATCH(N9,$A$3:$A$45,1)+1))</f>
        <v>9.0800000000000018</v>
      </c>
      <c r="P9" s="101">
        <f>IF(AND(O9&lt;=750,O9&gt;250),6,IF(AND(O9&lt;=250,O9&gt;120),4,IF(AND(O9&lt;=120,O9&gt;75),3,IF(AND(O9&lt;=75,O9&gt;40),2.5,IF(AND(O9&lt;=40,O9&gt;20),2,IF(AND(O9&lt;=20,O9&gt;14),1.5,IF(AND(O9&lt;=14,O9&gt;7),1.25,IF(AND(O9&lt;=7,O9&gt;3.5),1,IF(AND(O9&lt;=3.5,O9&gt;1.7),0.75,IF(AND(O9&lt;=1.7,O9&gt;0),0.5,IF(AND(O9&lt;=0,O9&gt;-1),0)))))))))))</f>
        <v>1.25</v>
      </c>
      <c r="Q9" s="61">
        <f>SUM('FU Distribution'!AH71:$AH$109)+IF('FU Distribution'!$D$112=3,'FU Distribution'!$D$114,0)</f>
        <v>4.7</v>
      </c>
      <c r="R9" s="98">
        <f>FORECAST(Q9,INDEX($B$3:$B$45,MATCH(Q9,$A$3:$A$45,1)):INDEX($B$3:$B$45,MATCH(Q9,$A$3:$A$45,1)+1),INDEX($A$3:$A$45,MATCH(Q9,$A$3:$A$45,1)):INDEX($A$3:$A$45,MATCH(Q9,$A$3:$A$45,1)+1))</f>
        <v>8.84</v>
      </c>
      <c r="S9" s="99">
        <f>IF(AND(R9&lt;=750,R9&gt;250),6,IF(AND(R9&lt;=250,R9&gt;120),4,IF(AND(R9&lt;=120,R9&gt;75),3,IF(AND(R9&lt;=75,R9&gt;40),2.5,IF(AND(R9&lt;=40,R9&gt;20),2,IF(AND(R9&lt;=20,R9&gt;14),1.5,IF(AND(R9&lt;=14,R9&gt;7),1.25,IF(AND(R9&lt;=7,R9&gt;3.5),1,IF(AND(R9&lt;=3.5,R9&gt;1.7),0.75,IF(AND(R9&lt;=1.7,R9&gt;0),0.5,IF(AND(R9&lt;=0,R9&gt;-1),0)))))))))))</f>
        <v>1.25</v>
      </c>
      <c r="T9" s="61">
        <f>SUM('FU Distribution'!AI71:$AI$109)</f>
        <v>4.9000000000000004</v>
      </c>
      <c r="U9" s="98">
        <f>FORECAST(T9,INDEX($B$3:$B$45,MATCH(T9,$A$3:$A$45,1)):INDEX($B$3:$B$45,MATCH(T9,$A$3:$A$45,1)+1),INDEX($A$3:$A$45,MATCH(T9,$A$3:$A$45,1)):INDEX($A$3:$A$45,MATCH(T9,$A$3:$A$45,1)+1))</f>
        <v>9.0800000000000018</v>
      </c>
      <c r="V9" s="99">
        <f t="shared" si="0"/>
        <v>1.25</v>
      </c>
      <c r="W9" s="75">
        <f>SUM('FU Distribution'!AK71:$AK$109)+IF('FU Distribution'!$D$112=4,'FU Distribution'!$D$114,0)</f>
        <v>4.7</v>
      </c>
      <c r="X9" s="100">
        <f>FORECAST(W9,INDEX($B$3:$B$45,MATCH(W9,$A$3:$A$45,1)):INDEX($B$3:$B$45,MATCH(W9,$A$3:$A$45,1)+1),INDEX($A$3:$A$45,MATCH(W9,$A$3:$A$45,1)):INDEX($A$3:$A$45,MATCH(W9,$A$3:$A$45,1)+1))</f>
        <v>8.84</v>
      </c>
      <c r="Y9" s="101">
        <f t="shared" si="1"/>
        <v>1.25</v>
      </c>
      <c r="Z9" s="75">
        <f>SUM('FU Distribution'!AL71:$AL$109)</f>
        <v>4.9000000000000004</v>
      </c>
      <c r="AA9" s="100">
        <f>FORECAST(Z9,INDEX($B$3:$B$45,MATCH(Z9,$A$3:$A$45,1)):INDEX($B$3:$B$45,MATCH(Z9,$A$3:$A$45,1)+1),INDEX($A$3:$A$45,MATCH(Z9,$A$3:$A$45,1)):INDEX($A$3:$A$45,MATCH(Z9,$A$3:$A$45,1)+1))</f>
        <v>9.0800000000000018</v>
      </c>
      <c r="AB9" s="101">
        <f>IF(AND(AA9&lt;=750,AA9&gt;250),6,IF(AND(AA9&lt;=250,AA9&gt;120),4,IF(AND(AA9&lt;=120,AA9&gt;75),3,IF(AND(AA9&lt;=75,AA9&gt;40),2.5,IF(AND(AA9&lt;=40,AA9&gt;20),2,IF(AND(AA9&lt;=20,AA9&gt;14),1.5,IF(AND(AA9&lt;=14,AA9&gt;7),1.25,IF(AND(AA9&lt;=7,AA9&gt;3.5),1,IF(AND(AA9&lt;=3.5,AA9&gt;1.7),0.75,IF(AND(AA9&lt;=1.7,AA9&gt;0),0.5,IF(AND(AA9&lt;=0,AA9&gt;-1),0)))))))))))</f>
        <v>1.25</v>
      </c>
      <c r="AC9" s="61">
        <f>SUM('FU Distribution'!AN71:$AN$109)+IF('FU Distribution'!$D$112=5,'FU Distribution'!$D$114,0)</f>
        <v>4.7</v>
      </c>
      <c r="AD9" s="98">
        <f>FORECAST(AC9,INDEX($B$3:$B$45,MATCH(AC9,$A$3:$A$45,1)):INDEX($B$3:$B$45,MATCH(AC9,$A$3:$A$45,1)+1),INDEX($A$3:$A$45,MATCH(AC9,$A$3:$A$45,1)):INDEX($A$3:$A$45,MATCH(AC9,$A$3:$A$45,1)+1))</f>
        <v>8.84</v>
      </c>
      <c r="AE9" s="99">
        <f>IF(AND(AD9&lt;=750,AD9&gt;250),6,IF(AND(AD9&lt;=250,AD9&gt;120),4,IF(AND(AD9&lt;=120,AD9&gt;75),3,IF(AND(AD9&lt;=75,AD9&gt;40),2.5,IF(AND(AD9&lt;=40,AD9&gt;20),2,IF(AND(AD9&lt;=20,AD9&gt;14),1.5,IF(AND(AD9&lt;=14,AD9&gt;7),1.25,IF(AND(AD9&lt;=7,AD9&gt;3.5),1,IF(AND(AD9&lt;=3.5,AD9&gt;1.7),0.75,IF(AND(AD9&lt;=1.7,AD9&gt;0),0.5,IF(AND(AD9&lt;=0,AD9&gt;-1),0)))))))))))</f>
        <v>1.25</v>
      </c>
      <c r="AF9" s="61">
        <f>SUM('FU Distribution'!AO71:$AO$109)</f>
        <v>4.9000000000000004</v>
      </c>
      <c r="AG9" s="98">
        <f>FORECAST(AF9,INDEX($B$3:$B$45,MATCH(AF9,$A$3:$A$45,1)):INDEX($B$3:$B$45,MATCH(AF9,$A$3:$A$45,1)+1),INDEX($A$3:$A$45,MATCH(AF9,$A$3:$A$45,1)):INDEX($A$3:$A$45,MATCH(AF9,$A$3:$A$45,1)+1))</f>
        <v>9.0800000000000018</v>
      </c>
      <c r="AH9" s="99">
        <f>IF(AND(AG9&lt;=750,AG9&gt;250),6,IF(AND(AG9&lt;=250,AG9&gt;120),4,IF(AND(AG9&lt;=120,AG9&gt;75),3,IF(AND(AG9&lt;=75,AG9&gt;40),2.5,IF(AND(AG9&lt;=40,AG9&gt;20),2,IF(AND(AG9&lt;=20,AG9&gt;14),1.5,IF(AND(AG9&lt;=14,AG9&gt;7),1.25,IF(AND(AG9&lt;=7,AG9&gt;3.5),1,IF(AND(AG9&lt;=3.5,AG9&gt;1.7),0.75,IF(AND(AG9&lt;=1.7,AG9&gt;0),0.5,IF(AND(AG9&lt;=0,AG9&gt;-1),0)))))))))))</f>
        <v>1.25</v>
      </c>
      <c r="AI9" s="75">
        <f>SUM('FU Distribution'!AQ71:$AQ$109)+IF('FU Distribution'!$D$112=6,'FU Distribution'!$D$114,0)</f>
        <v>7.4</v>
      </c>
      <c r="AJ9" s="100">
        <f>FORECAST(AI9,INDEX($B$3:$B$45,MATCH(AI9,$A$3:$A$45,1)):INDEX($B$3:$B$45,MATCH(AI9,$A$3:$A$45,1)+1),INDEX($A$3:$A$45,MATCH(AI9,$A$3:$A$45,1)):INDEX($A$3:$A$45,MATCH(AI9,$A$3:$A$45,1)+1))</f>
        <v>12.080000000000002</v>
      </c>
      <c r="AK9" s="101">
        <f>IF(AND(AJ9&lt;=750,AJ9&gt;250),6,IF(AND(AJ9&lt;=250,AJ9&gt;120),4,IF(AND(AJ9&lt;=120,AJ9&gt;75),3,IF(AND(AJ9&lt;=75,AJ9&gt;40),2.5,IF(AND(AJ9&lt;=40,AJ9&gt;20),2,IF(AND(AJ9&lt;=20,AJ9&gt;14),1.5,IF(AND(AJ9&lt;=14,AJ9&gt;7),1.25,IF(AND(AJ9&lt;=7,AJ9&gt;3.5),1,IF(AND(AJ9&lt;=3.5,AJ9&gt;1.7),0.75,IF(AND(AJ9&lt;=1.7,AJ9&gt;0),0.5,IF(AND(AJ9&lt;=0,AJ9&gt;-1),0)))))))))))</f>
        <v>1.25</v>
      </c>
      <c r="AL9" s="75">
        <f>SUM('FU Distribution'!AR71:$AR$109)</f>
        <v>5.4</v>
      </c>
      <c r="AM9" s="100">
        <f>FORECAST(AL9,INDEX($B$3:$B$45,MATCH(AL9,$A$3:$A$45,1)):INDEX($B$3:$B$45,MATCH(AL9,$A$3:$A$45,1)+1),INDEX($A$3:$A$45,MATCH(AL9,$A$3:$A$45,1)):INDEX($A$3:$A$45,MATCH(AL9,$A$3:$A$45,1)+1))</f>
        <v>9.68</v>
      </c>
      <c r="AN9" s="101">
        <f>IF(AND(AM9&lt;=750,AM9&gt;250),6,IF(AND(AM9&lt;=250,AM9&gt;120),4,IF(AND(AM9&lt;=120,AM9&gt;75),3,IF(AND(AM9&lt;=75,AM9&gt;40),2.5,IF(AND(AM9&lt;=40,AM9&gt;20),2,IF(AND(AM9&lt;=20,AM9&gt;14),1.5,IF(AND(AM9&lt;=14,AM9&gt;7),1.25,IF(AND(AM9&lt;=7,AM9&gt;3.5),1,IF(AND(AM9&lt;=3.5,AM9&gt;1.7),0.75,IF(AND(AM9&lt;=1.7,AM9&gt;0),0.5,IF(AND(AM9&lt;=0,AM9&gt;-1),0)))))))))))</f>
        <v>1.25</v>
      </c>
      <c r="AO9" s="61">
        <f>SUM('FU Distribution'!AT71:$AT$109)+IF('FU Distribution'!$D$112=7,'FU Distribution'!$D$114,0)</f>
        <v>4.7</v>
      </c>
      <c r="AP9" s="98">
        <f>FORECAST(AO9,INDEX($B$3:$B$45,MATCH(AO9,$A$3:$A$45,1)):INDEX($B$3:$B$45,MATCH(AO9,$A$3:$A$45,1)+1),INDEX($A$3:$A$45,MATCH(AO9,$A$3:$A$45,1)):INDEX($A$3:$A$45,MATCH(AO9,$A$3:$A$45,1)+1))</f>
        <v>8.84</v>
      </c>
      <c r="AQ9" s="99">
        <f>IF(AND(AP9&lt;=750,AP9&gt;250),6,IF(AND(AP9&lt;=250,AP9&gt;120),4,IF(AND(AP9&lt;=120,AP9&gt;75),3,IF(AND(AP9&lt;=75,AP9&gt;40),2.5,IF(AND(AP9&lt;=40,AP9&gt;20),2,IF(AND(AP9&lt;=20,AP9&gt;14),1.5,IF(AND(AP9&lt;=14,AP9&gt;7),1.25,IF(AND(AP9&lt;=7,AP9&gt;3.5),1,IF(AND(AP9&lt;=3.5,AP9&gt;1.7),0.75,IF(AND(AP9&lt;=1.7,AP9&gt;0),0.5,IF(AND(AP9&lt;=0,AP9&gt;-1),0)))))))))))</f>
        <v>1.25</v>
      </c>
      <c r="AR9" s="61">
        <f>SUM('FU Distribution'!AU71:$AU$109)</f>
        <v>4.9000000000000004</v>
      </c>
      <c r="AS9" s="98">
        <f>FORECAST(AR9,INDEX($B$3:$B$45,MATCH(AR9,$A$3:$A$45,1)):INDEX($B$3:$B$45,MATCH(AR9,$A$3:$A$45,1)+1),INDEX($A$3:$A$45,MATCH(AR9,$A$3:$A$45,1)):INDEX($A$3:$A$45,MATCH(AR9,$A$3:$A$45,1)+1))</f>
        <v>9.0800000000000018</v>
      </c>
      <c r="AT9" s="99">
        <f>IF(AND(AS9&lt;=750,AS9&gt;250),6,IF(AND(AS9&lt;=250,AS9&gt;120),4,IF(AND(AS9&lt;=120,AS9&gt;75),3,IF(AND(AS9&lt;=75,AS9&gt;40),2.5,IF(AND(AS9&lt;=40,AS9&gt;20),2,IF(AND(AS9&lt;=20,AS9&gt;14),1.5,IF(AND(AS9&lt;=14,AS9&gt;7),1.25,IF(AND(AS9&lt;=7,AS9&gt;3.5),1,IF(AND(AS9&lt;=3.5,AS9&gt;1.7),0.75,IF(AND(AS9&lt;=1.7,AS9&gt;0),0.5,IF(AND(AS9&lt;=0,AS9&gt;-1),0)))))))))))</f>
        <v>1.25</v>
      </c>
      <c r="AU9" s="61">
        <f>SUM('FU Distribution'!AW71:$AW$109)+IF('FU Distribution'!$D$112=8,'FU Distribution'!$D$114,0)</f>
        <v>4.7</v>
      </c>
      <c r="AV9" s="98">
        <f>FORECAST(AU9,INDEX($B$3:$B$45,MATCH(AU9,$A$3:$A$45,1)):INDEX($B$3:$B$45,MATCH(AU9,$A$3:$A$45,1)+1),INDEX($A$3:$A$45,MATCH(AU9,$A$3:$A$45,1)):INDEX($A$3:$A$45,MATCH(AU9,$A$3:$A$45,1)+1))</f>
        <v>8.84</v>
      </c>
      <c r="AW9" s="99">
        <f>IF(AND(AV9&lt;=750,AV9&gt;250),6,IF(AND(AV9&lt;=250,AV9&gt;120),4,IF(AND(AV9&lt;=120,AV9&gt;75),3,IF(AND(AV9&lt;=75,AV9&gt;40),2.5,IF(AND(AV9&lt;=40,AV9&gt;20),2,IF(AND(AV9&lt;=20,AV9&gt;14),1.5,IF(AND(AV9&lt;=14,AV9&gt;7),1.25,IF(AND(AV9&lt;=7,AV9&gt;3.5),1,IF(AND(AV9&lt;=3.5,AV9&gt;1.7),0.75,IF(AND(AV9&lt;=1.7,AV9&gt;0),0.5,IF(AND(AV9&lt;=0,AV9&gt;-1),0)))))))))))</f>
        <v>1.25</v>
      </c>
      <c r="AX9" s="61">
        <f>SUM('FU Distribution'!AX71:$AX$109)</f>
        <v>4.9000000000000004</v>
      </c>
      <c r="AY9" s="98">
        <f>FORECAST(AX9,INDEX($B$3:$B$45,MATCH(AX9,$A$3:$A$45,1)):INDEX($B$3:$B$45,MATCH(AX9,$A$3:$A$45,1)+1),INDEX($A$3:$A$45,MATCH(AX9,$A$3:$A$45,1)):INDEX($A$3:$A$45,MATCH(AX9,$A$3:$A$45,1)+1))</f>
        <v>9.0800000000000018</v>
      </c>
      <c r="AZ9" s="99">
        <f>IF(AND(AY9&lt;=750,AY9&gt;250),6,IF(AND(AY9&lt;=250,AY9&gt;120),4,IF(AND(AY9&lt;=120,AY9&gt;75),3,IF(AND(AY9&lt;=75,AY9&gt;40),2.5,IF(AND(AY9&lt;=40,AY9&gt;20),2,IF(AND(AY9&lt;=20,AY9&gt;14),1.5,IF(AND(AY9&lt;=14,AY9&gt;7),1.25,IF(AND(AY9&lt;=7,AY9&gt;3.5),1,IF(AND(AY9&lt;=3.5,AY9&gt;1.7),0.75,IF(AND(AY9&lt;=1.7,AY9&gt;0),0.5,IF(AND(AY9&lt;=0,AY9&gt;-1),0)))))))))))</f>
        <v>1.25</v>
      </c>
      <c r="BA9" s="75">
        <f>SUM('FU Distribution'!AZ71:$AZ$109)+IF('FU Distribution'!$D$112=9,'FU Distribution'!$D$114,0)</f>
        <v>4.7</v>
      </c>
      <c r="BB9" s="76">
        <f>FORECAST((SUM(BA9:BA1004)),INDEX($B$3:$B$45,MATCH((SUM(BA9:BA1004)),$A$3:$A$45,1)):INDEX($B$3:$B$45,MATCH((SUM(BA9:BA1004)),$A$3:$A$45,1)+1),INDEX($A$3:$A$45,MATCH((SUM(BA9:BA1004)),$A$3:$A$45,1)):INDEX($A$3:$A$45,MATCH((SUM(BA9:BA1004)),$A$3:$A$45,1)+1))</f>
        <v>8.84</v>
      </c>
      <c r="BC9" s="77">
        <f t="shared" si="3"/>
        <v>1.25</v>
      </c>
      <c r="BD9" s="75">
        <f>SUM('FU Distribution'!BA71:$BA$109)</f>
        <v>4.9000000000000004</v>
      </c>
      <c r="BE9" s="76">
        <f>FORECAST((SUM(BD9:BD1004)),INDEX($B$3:$B$45,MATCH((SUM(BD9:BD1004)),$A$3:$A$45,1)):INDEX($B$3:$B$45,MATCH((SUM(BD9:BD1004)),$A$3:$A$45,1)+1),INDEX($A$3:$A$45,MATCH((SUM(BD9:BD1004)),$A$3:$A$45,1)):INDEX($A$3:$A$45,MATCH((SUM(BD9:BD1004)),$A$3:$A$45,1)+1))</f>
        <v>9.0800000000000018</v>
      </c>
      <c r="BF9" s="77">
        <f t="shared" si="4"/>
        <v>1.25</v>
      </c>
      <c r="BG9" s="61">
        <f>SUM('FU Distribution'!BC71:$BC$109)+IF('FU Distribution'!$D$112=10,'FU Distribution'!$D$114,0)</f>
        <v>7.4</v>
      </c>
      <c r="BH9" s="62">
        <f>FORECAST((SUM(BG9:BG1004)),INDEX($B$3:$B$45,MATCH((SUM(BG9:BG1004)),$A$3:$A$45,1)):INDEX($B$3:$B$45,MATCH((SUM(BG9:BG1004)),$A$3:$A$45,1)+1),INDEX($A$3:$A$45,MATCH((SUM(BG9:BG1004)),$A$3:$A$45,1)):INDEX($A$3:$A$45,MATCH((SUM(BG9:BG1004)),$A$3:$A$45,1)+1))</f>
        <v>12.080000000000002</v>
      </c>
      <c r="BI9" s="74">
        <f t="shared" si="5"/>
        <v>1.25</v>
      </c>
      <c r="BJ9" s="61">
        <f>SUM('FU Distribution'!BD71:$BD$109)</f>
        <v>6.4</v>
      </c>
      <c r="BK9" s="62">
        <f>FORECAST((SUM(BJ9:BJ1004)),INDEX($B$3:$B$45,MATCH((SUM(BJ9:BJ1004)),$A$3:$A$45,1)):INDEX($B$3:$B$45,MATCH((SUM(BJ9:BJ1004)),$A$3:$A$45,1)+1),INDEX($A$3:$A$45,MATCH((SUM(BJ9:BJ1004)),$A$3:$A$45,1)):INDEX($A$3:$A$45,MATCH((SUM(BJ9:BJ1004)),$A$3:$A$45,1)+1))</f>
        <v>10.88</v>
      </c>
      <c r="BL9" s="74">
        <f t="shared" si="6"/>
        <v>1.25</v>
      </c>
      <c r="BM9" s="75">
        <f>SUM('FU Distribution'!BF71:$BF$109)+IF('FU Distribution'!$D$112=11,'FU Distribution'!$D$114,0)</f>
        <v>0</v>
      </c>
      <c r="BN9" s="76" t="e">
        <f>FORECAST((SUM(BM9:BM1004)),INDEX($B$3:$B$45,MATCH((SUM(BM9:BM1004)),$A$3:$A$45,1)):INDEX($B$3:$B$45,MATCH((SUM(BM9:BM1004)),$A$3:$A$45,1)+1),INDEX($A$3:$A$45,MATCH((SUM(BM9:BM1004)),$A$3:$A$45,1)):INDEX($A$3:$A$45,MATCH((SUM(BM9:BM1004)),$A$3:$A$45,1)+1))</f>
        <v>#N/A</v>
      </c>
      <c r="BO9" s="77" t="e">
        <f t="shared" si="7"/>
        <v>#N/A</v>
      </c>
      <c r="BP9" s="75">
        <f>SUM('FU Distribution'!BG71:$BG$109)</f>
        <v>0</v>
      </c>
      <c r="BQ9" s="76" t="e">
        <f>FORECAST((SUM(BP9:BP1004)),INDEX($B$3:$B$45,MATCH((SUM(BP9:BP1004)),$A$3:$A$45,1)):INDEX($B$3:$B$45,MATCH((SUM(BP9:BP1004)),$A$3:$A$45,1)+1),INDEX($A$3:$A$45,MATCH((SUM(BP9:BP1004)),$A$3:$A$45,1)):INDEX($A$3:$A$45,MATCH((SUM(BP9:BP1004)),$A$3:$A$45,1)+1))</f>
        <v>#N/A</v>
      </c>
      <c r="BR9" s="77" t="e">
        <f t="shared" si="8"/>
        <v>#N/A</v>
      </c>
      <c r="BS9" s="61">
        <f>SUM('FU Distribution'!BI71:$BI$109)+IF('FU Distribution'!$D$112=12,'FU Distribution'!$D$114,0)</f>
        <v>0</v>
      </c>
      <c r="BT9" s="62" t="e">
        <f>FORECAST(BS9,INDEX($B$3:$B$45,MATCH(BS9,$A$3:$A$45,1)):INDEX($B$3:$B$45,MATCH(BS9,$A$3:$A$45,1)+1),INDEX($A$3:$A$45,MATCH(BS9,$A$3:$A$45,1)):INDEX($A$3:$A$45,MATCH(BS9,$A$3:$A$45,1)+1))</f>
        <v>#N/A</v>
      </c>
      <c r="BU9" s="74" t="e">
        <f t="shared" si="9"/>
        <v>#N/A</v>
      </c>
      <c r="BV9" s="61">
        <f>SUM('FU Distribution'!BJ71:$BJ$109)</f>
        <v>0</v>
      </c>
      <c r="BW9" s="62" t="e">
        <f>FORECAST(BV9,INDEX($B$3:$B$45,MATCH(BV9,$A$3:$A$45,1)):INDEX($B$3:$B$45,MATCH(BV9,$A$3:$A$45,1)+1),INDEX($A$3:$A$45,MATCH(BV9,$A$3:$A$45,1)):INDEX($A$3:$A$45,MATCH(BV9,$A$3:$A$45,1)+1))</f>
        <v>#N/A</v>
      </c>
      <c r="BX9" s="74" t="e">
        <f t="shared" si="10"/>
        <v>#N/A</v>
      </c>
      <c r="BY9" s="75">
        <f>SUM('FU Distribution'!BL71:$BL$109)+IF('FU Distribution'!$D$112=13,'FU Distribution'!$D$114,0)</f>
        <v>0</v>
      </c>
      <c r="BZ9" s="76" t="e">
        <f>FORECAST(BY9,INDEX($B$3:$B$45,MATCH(BY9,$A$3:$A$45,1)):INDEX($B$3:$B$45,MATCH(BY9,$A$3:$A$45,1)+1),INDEX($A$3:$A$45,MATCH(BY9,$A$3:$A$45,1)):INDEX($A$3:$A$45,MATCH(BY9,$A$3:$A$45,1)+1))</f>
        <v>#N/A</v>
      </c>
      <c r="CA9" s="77" t="e">
        <f t="shared" si="11"/>
        <v>#N/A</v>
      </c>
      <c r="CB9" s="75">
        <f>SUM('FU Distribution'!BM71:$BM$109)</f>
        <v>0</v>
      </c>
      <c r="CC9" s="76" t="e">
        <f>FORECAST(CB9,INDEX($B$3:$B$45,MATCH(CB9,$A$3:$A$45,1)):INDEX($B$3:$B$45,MATCH(CB9,$A$3:$A$45,1)+1),INDEX($A$3:$A$45,MATCH(CB9,$A$3:$A$45,1)):INDEX($A$3:$A$45,MATCH(CB9,$A$3:$A$45,1)+1))</f>
        <v>#N/A</v>
      </c>
      <c r="CD9" s="77" t="e">
        <f t="shared" si="12"/>
        <v>#N/A</v>
      </c>
      <c r="CE9" s="61">
        <f>SUM('FU Distribution'!BO71:$BO$109)+IF('FU Distribution'!$D$112=13,'FU Distribution'!$D$114,0)</f>
        <v>0</v>
      </c>
      <c r="CF9" s="62" t="e">
        <f>FORECAST(CE9,INDEX($B$3:$B$45,MATCH(CE9,$A$3:$A$45,1)):INDEX($B$3:$B$45,MATCH(CE9,$A$3:$A$45,1)+1),INDEX($A$3:$A$45,MATCH(CE9,$A$3:$A$45,1)):INDEX($A$3:$A$45,MATCH(CE9,$A$3:$A$45,1)+1))</f>
        <v>#N/A</v>
      </c>
      <c r="CG9" s="74" t="e">
        <f t="shared" si="13"/>
        <v>#N/A</v>
      </c>
      <c r="CH9" s="61">
        <f>SUM('FU Distribution'!BP71:$BP$109)</f>
        <v>0</v>
      </c>
      <c r="CI9" s="62" t="e">
        <f>FORECAST(CH9,INDEX($B$3:$B$45,MATCH(CH9,$A$3:$A$45,1)):INDEX($B$3:$B$45,MATCH(CH9,$A$3:$A$45,1)+1),INDEX($A$3:$A$45,MATCH(CH9,$A$3:$A$45,1)):INDEX($A$3:$A$45,MATCH(CH9,$A$3:$A$45,1)+1))</f>
        <v>#N/A</v>
      </c>
      <c r="CJ9" s="74" t="e">
        <f t="shared" si="14"/>
        <v>#N/A</v>
      </c>
    </row>
    <row r="10" spans="1:88" x14ac:dyDescent="0.25">
      <c r="A10" s="2">
        <v>60</v>
      </c>
      <c r="B10" s="2">
        <v>33</v>
      </c>
      <c r="D10" s="52">
        <v>6</v>
      </c>
      <c r="E10" s="61">
        <f>SUM('FU Distribution'!AB72:$AB$109)+IF('FU Distribution'!$D$112=1,'FU Distribution'!$D$114,0)</f>
        <v>0</v>
      </c>
      <c r="F10" s="98" t="e">
        <f>FORECAST(E10,INDEX($B$3:$B$45,MATCH(E10,$A$3:$A$45,1)):INDEX($B$3:$B$45,MATCH(E10,$A$3:$A$45,1)+1),INDEX($A$3:$A$45,MATCH(E10,$A$3:$A$45,1)):INDEX($A$3:$A$45,MATCH(E10,$A$3:$A$45,1)+1))</f>
        <v>#N/A</v>
      </c>
      <c r="G10" s="97" t="e">
        <f>IF(AND(F10&lt;=750,F10&gt;250),6,IF(AND(F10&lt;=250,F10&gt;120),4,IF(AND(F10&lt;=120,F10&gt;75),3,IF(AND(F10&lt;=75,F10&gt;40),2.5,IF(AND(F10&lt;=40,F10&gt;20),2,IF(AND(F10&lt;=20,F10&gt;14),1.5,IF(AND(F10&lt;=14,F10&gt;7),1.25,IF(AND(F10&lt;=7,F10&gt;3.5),1,IF(AND(F10&lt;=3.5,F10&gt;1.7),0.75,IF(AND(F10&lt;=1.7,F10&gt;0),0.5,IF(AND(F10&lt;=0,F10&gt;-1),0)))))))))))</f>
        <v>#N/A</v>
      </c>
      <c r="H10" s="61">
        <f>SUM('FU Distribution'!AC72:$AC$109)</f>
        <v>0</v>
      </c>
      <c r="I10" s="98" t="e">
        <f>FORECAST(H10,INDEX($B$3:$B$45,MATCH(H10,$A$3:$A$45,1)):INDEX($B$3:$B$45,MATCH(H10,$A$3:$A$45,1)+1),INDEX($A$3:$A$45,MATCH(H10,$A$3:$A$45,1)):INDEX($A$3:$A$45,MATCH(H10,$A$3:$A$45,1)+1))</f>
        <v>#N/A</v>
      </c>
      <c r="J10" s="99" t="e">
        <f t="shared" si="2"/>
        <v>#N/A</v>
      </c>
      <c r="K10" s="75">
        <f>SUM('FU Distribution'!AE72:$AE$109)+IF('FU Distribution'!$D$112=2,'FU Distribution'!$D$114,0)</f>
        <v>0</v>
      </c>
      <c r="L10" s="100" t="e">
        <f>FORECAST(K10,INDEX($B$3:$B$45,MATCH(K10,$A$3:$A$45,1)):INDEX($B$3:$B$45,MATCH(K10,$A$3:$A$45,1)+1),INDEX($A$3:$A$45,MATCH(K10,$A$3:$A$45,1)):INDEX($A$3:$A$45,MATCH(K10,$A$3:$A$45,1)+1))</f>
        <v>#N/A</v>
      </c>
      <c r="M10" s="97" t="e">
        <f>IF(AND(L10&lt;=750,L10&gt;250),6,IF(AND(L10&lt;=250,L10&gt;120),4,IF(AND(L10&lt;=120,L10&gt;75),3,IF(AND(L10&lt;=75,L10&gt;40),2.5,IF(AND(L10&lt;=40,L10&gt;20),2,IF(AND(L10&lt;=20,L10&gt;14),1.5,IF(AND(L10&lt;=14,L10&gt;7),1.25,IF(AND(L10&lt;=7,L10&gt;3.5),1,IF(AND(L10&lt;=3.5,L10&gt;1.7),0.75,IF(AND(L10&lt;=1.7,L10&gt;0),0.5,IF(AND(L10&lt;=0,L10&gt;-1),0)))))))))))</f>
        <v>#N/A</v>
      </c>
      <c r="N10" s="75">
        <f>SUM('FU Distribution'!AF72:$AF$109)</f>
        <v>0</v>
      </c>
      <c r="O10" s="100" t="e">
        <f>FORECAST(N10,INDEX($B$3:$B$45,MATCH(N10,$A$3:$A$45,1)):INDEX($B$3:$B$45,MATCH(N10,$A$3:$A$45,1)+1),INDEX($A$3:$A$45,MATCH(N10,$A$3:$A$45,1)):INDEX($A$3:$A$45,MATCH(N10,$A$3:$A$45,1)+1))</f>
        <v>#N/A</v>
      </c>
      <c r="P10" s="97" t="e">
        <f>IF(AND(O10&lt;=750,O10&gt;250),6,IF(AND(O10&lt;=250,O10&gt;120),4,IF(AND(O10&lt;=120,O10&gt;75),3,IF(AND(O10&lt;=75,O10&gt;40),2.5,IF(AND(O10&lt;=40,O10&gt;20),2,IF(AND(O10&lt;=20,O10&gt;14),1.5,IF(AND(O10&lt;=14,O10&gt;7),1.25,IF(AND(O10&lt;=7,O10&gt;3.5),1,IF(AND(O10&lt;=3.5,O10&gt;1.7),0.75,IF(AND(O10&lt;=1.7,O10&gt;0),0.5,IF(AND(O10&lt;=0,O10&gt;-1),0)))))))))))</f>
        <v>#N/A</v>
      </c>
      <c r="Q10" s="61">
        <f>SUM('FU Distribution'!AH72:$AH$109)+IF('FU Distribution'!$D$112=3,'FU Distribution'!$D$114,0)</f>
        <v>0</v>
      </c>
      <c r="R10" s="98" t="e">
        <f>FORECAST(Q10,INDEX($B$3:$B$45,MATCH(Q10,$A$3:$A$45,1)):INDEX($B$3:$B$45,MATCH(Q10,$A$3:$A$45,1)+1),INDEX($A$3:$A$45,MATCH(Q10,$A$3:$A$45,1)):INDEX($A$3:$A$45,MATCH(Q10,$A$3:$A$45,1)+1))</f>
        <v>#N/A</v>
      </c>
      <c r="S10" s="97" t="e">
        <f>IF(AND(R10&lt;=750,R10&gt;250),6,IF(AND(R10&lt;=250,R10&gt;120),4,IF(AND(R10&lt;=120,R10&gt;75),3,IF(AND(R10&lt;=75,R10&gt;40),2.5,IF(AND(R10&lt;=40,R10&gt;20),2,IF(AND(R10&lt;=20,R10&gt;14),1.5,IF(AND(R10&lt;=14,R10&gt;7),1.25,IF(AND(R10&lt;=7,R10&gt;3.5),1,IF(AND(R10&lt;=3.5,R10&gt;1.7),0.75,IF(AND(R10&lt;=1.7,R10&gt;0),0.5,IF(AND(R10&lt;=0,R10&gt;-1),0)))))))))))</f>
        <v>#N/A</v>
      </c>
      <c r="T10" s="61">
        <f>SUM('FU Distribution'!AI72:$AI$109)</f>
        <v>0</v>
      </c>
      <c r="U10" s="98" t="e">
        <f>FORECAST(T10,INDEX($B$3:$B$45,MATCH(T10,$A$3:$A$45,1)):INDEX($B$3:$B$45,MATCH(T10,$A$3:$A$45,1)+1),INDEX($A$3:$A$45,MATCH(T10,$A$3:$A$45,1)):INDEX($A$3:$A$45,MATCH(T10,$A$3:$A$45,1)+1))</f>
        <v>#N/A</v>
      </c>
      <c r="V10" s="97" t="e">
        <f t="shared" si="0"/>
        <v>#N/A</v>
      </c>
      <c r="W10" s="75">
        <f>SUM('FU Distribution'!AK72:$AK$109)+IF('FU Distribution'!$D$112=4,'FU Distribution'!$D$114,0)</f>
        <v>0</v>
      </c>
      <c r="X10" s="100" t="e">
        <f>FORECAST(W10,INDEX($B$3:$B$45,MATCH(W10,$A$3:$A$45,1)):INDEX($B$3:$B$45,MATCH(W10,$A$3:$A$45,1)+1),INDEX($A$3:$A$45,MATCH(W10,$A$3:$A$45,1)):INDEX($A$3:$A$45,MATCH(W10,$A$3:$A$45,1)+1))</f>
        <v>#N/A</v>
      </c>
      <c r="Y10" s="97" t="e">
        <f t="shared" si="1"/>
        <v>#N/A</v>
      </c>
      <c r="Z10" s="75">
        <f>SUM('FU Distribution'!AL72:$AL$109)</f>
        <v>0</v>
      </c>
      <c r="AA10" s="100" t="e">
        <f>FORECAST(Z10,INDEX($B$3:$B$45,MATCH(Z10,$A$3:$A$45,1)):INDEX($B$3:$B$45,MATCH(Z10,$A$3:$A$45,1)+1),INDEX($A$3:$A$45,MATCH(Z10,$A$3:$A$45,1)):INDEX($A$3:$A$45,MATCH(Z10,$A$3:$A$45,1)+1))</f>
        <v>#N/A</v>
      </c>
      <c r="AB10" s="97" t="e">
        <f>IF(AND(AA10&lt;=750,AA10&gt;250),6,IF(AND(AA10&lt;=250,AA10&gt;120),4,IF(AND(AA10&lt;=120,AA10&gt;75),3,IF(AND(AA10&lt;=75,AA10&gt;40),2.5,IF(AND(AA10&lt;=40,AA10&gt;20),2,IF(AND(AA10&lt;=20,AA10&gt;14),1.5,IF(AND(AA10&lt;=14,AA10&gt;7),1.25,IF(AND(AA10&lt;=7,AA10&gt;3.5),1,IF(AND(AA10&lt;=3.5,AA10&gt;1.7),0.75,IF(AND(AA10&lt;=1.7,AA10&gt;0),0.5,IF(AND(AA10&lt;=0,AA10&gt;-1),0)))))))))))</f>
        <v>#N/A</v>
      </c>
      <c r="AC10" s="61">
        <f>SUM('FU Distribution'!AN72:$AN$109)+IF('FU Distribution'!$D$112=5,'FU Distribution'!$D$114,0)</f>
        <v>0</v>
      </c>
      <c r="AD10" s="98" t="e">
        <f>FORECAST(AC10,INDEX($B$3:$B$45,MATCH(AC10,$A$3:$A$45,1)):INDEX($B$3:$B$45,MATCH(AC10,$A$3:$A$45,1)+1),INDEX($A$3:$A$45,MATCH(AC10,$A$3:$A$45,1)):INDEX($A$3:$A$45,MATCH(AC10,$A$3:$A$45,1)+1))</f>
        <v>#N/A</v>
      </c>
      <c r="AE10" s="97" t="e">
        <f>IF(AND(AD10&lt;=750,AD10&gt;250),6,IF(AND(AD10&lt;=250,AD10&gt;120),4,IF(AND(AD10&lt;=120,AD10&gt;75),3,IF(AND(AD10&lt;=75,AD10&gt;40),2.5,IF(AND(AD10&lt;=40,AD10&gt;20),2,IF(AND(AD10&lt;=20,AD10&gt;14),1.5,IF(AND(AD10&lt;=14,AD10&gt;7),1.25,IF(AND(AD10&lt;=7,AD10&gt;3.5),1,IF(AND(AD10&lt;=3.5,AD10&gt;1.7),0.75,IF(AND(AD10&lt;=1.7,AD10&gt;0),0.5,IF(AND(AD10&lt;=0,AD10&gt;-1),0)))))))))))</f>
        <v>#N/A</v>
      </c>
      <c r="AF10" s="61">
        <f>SUM('FU Distribution'!AO72:$AO$109)</f>
        <v>0</v>
      </c>
      <c r="AG10" s="98" t="e">
        <f>FORECAST(AF10,INDEX($B$3:$B$45,MATCH(AF10,$A$3:$A$45,1)):INDEX($B$3:$B$45,MATCH(AF10,$A$3:$A$45,1)+1),INDEX($A$3:$A$45,MATCH(AF10,$A$3:$A$45,1)):INDEX($A$3:$A$45,MATCH(AF10,$A$3:$A$45,1)+1))</f>
        <v>#N/A</v>
      </c>
      <c r="AH10" s="97" t="e">
        <f>IF(AND(AG10&lt;=750,AG10&gt;250),6,IF(AND(AG10&lt;=250,AG10&gt;120),4,IF(AND(AG10&lt;=120,AG10&gt;75),3,IF(AND(AG10&lt;=75,AG10&gt;40),2.5,IF(AND(AG10&lt;=40,AG10&gt;20),2,IF(AND(AG10&lt;=20,AG10&gt;14),1.5,IF(AND(AG10&lt;=14,AG10&gt;7),1.25,IF(AND(AG10&lt;=7,AG10&gt;3.5),1,IF(AND(AG10&lt;=3.5,AG10&gt;1.7),0.75,IF(AND(AG10&lt;=1.7,AG10&gt;0),0.5,IF(AND(AG10&lt;=0,AG10&gt;-1),0)))))))))))</f>
        <v>#N/A</v>
      </c>
      <c r="AI10" s="75">
        <f>SUM('FU Distribution'!AQ72:$AQ$109)+IF('FU Distribution'!$D$112=6,'FU Distribution'!$D$114,0)</f>
        <v>2.7</v>
      </c>
      <c r="AJ10" s="100">
        <f>FORECAST(AI10,INDEX($B$3:$B$45,MATCH(AI10,$A$3:$A$45,1)):INDEX($B$3:$B$45,MATCH(AI10,$A$3:$A$45,1)+1),INDEX($A$3:$A$45,MATCH(AI10,$A$3:$A$45,1)):INDEX($A$3:$A$45,MATCH(AI10,$A$3:$A$45,1)+1))</f>
        <v>6.0500000000000007</v>
      </c>
      <c r="AK10" s="97">
        <f>IF(AND(AJ10&lt;=750,AJ10&gt;250),6,IF(AND(AJ10&lt;=250,AJ10&gt;120),4,IF(AND(AJ10&lt;=120,AJ10&gt;75),3,IF(AND(AJ10&lt;=75,AJ10&gt;40),2.5,IF(AND(AJ10&lt;=40,AJ10&gt;20),2,IF(AND(AJ10&lt;=20,AJ10&gt;14),1.5,IF(AND(AJ10&lt;=14,AJ10&gt;7),1.25,IF(AND(AJ10&lt;=7,AJ10&gt;3.5),1,IF(AND(AJ10&lt;=3.5,AJ10&gt;1.7),0.75,IF(AND(AJ10&lt;=1.7,AJ10&gt;0),0.5,IF(AND(AJ10&lt;=0,AJ10&gt;-1),0)))))))))))</f>
        <v>1</v>
      </c>
      <c r="AL10" s="75">
        <f>SUM('FU Distribution'!AR72:$AR$109)</f>
        <v>0.5</v>
      </c>
      <c r="AM10" s="100" t="e">
        <f>FORECAST(AL10,INDEX($B$3:$B$45,MATCH(AL10,$A$3:$A$45,1)):INDEX($B$3:$B$45,MATCH(AL10,$A$3:$A$45,1)+1),INDEX($A$3:$A$45,MATCH(AL10,$A$3:$A$45,1)):INDEX($A$3:$A$45,MATCH(AL10,$A$3:$A$45,1)+1))</f>
        <v>#N/A</v>
      </c>
      <c r="AN10" s="97" t="e">
        <f>IF(AND(AM10&lt;=750,AM10&gt;250),6,IF(AND(AM10&lt;=250,AM10&gt;120),4,IF(AND(AM10&lt;=120,AM10&gt;75),3,IF(AND(AM10&lt;=75,AM10&gt;40),2.5,IF(AND(AM10&lt;=40,AM10&gt;20),2,IF(AND(AM10&lt;=20,AM10&gt;14),1.5,IF(AND(AM10&lt;=14,AM10&gt;7),1.25,IF(AND(AM10&lt;=7,AM10&gt;3.5),1,IF(AND(AM10&lt;=3.5,AM10&gt;1.7),0.75,IF(AND(AM10&lt;=1.7,AM10&gt;0),0.5,IF(AND(AM10&lt;=0,AM10&gt;-1),0)))))))))))</f>
        <v>#N/A</v>
      </c>
      <c r="AO10" s="61">
        <f>SUM('FU Distribution'!AT72:$AT$109)+IF('FU Distribution'!$D$112=7,'FU Distribution'!$D$114,0)</f>
        <v>0</v>
      </c>
      <c r="AP10" s="98" t="e">
        <f>FORECAST(AO10,INDEX($B$3:$B$45,MATCH(AO10,$A$3:$A$45,1)):INDEX($B$3:$B$45,MATCH(AO10,$A$3:$A$45,1)+1),INDEX($A$3:$A$45,MATCH(AO10,$A$3:$A$45,1)):INDEX($A$3:$A$45,MATCH(AO10,$A$3:$A$45,1)+1))</f>
        <v>#N/A</v>
      </c>
      <c r="AQ10" s="97" t="e">
        <f>IF(AND(AP10&lt;=750,AP10&gt;250),6,IF(AND(AP10&lt;=250,AP10&gt;120),4,IF(AND(AP10&lt;=120,AP10&gt;75),3,IF(AND(AP10&lt;=75,AP10&gt;40),2.5,IF(AND(AP10&lt;=40,AP10&gt;20),2,IF(AND(AP10&lt;=20,AP10&gt;14),1.5,IF(AND(AP10&lt;=14,AP10&gt;7),1.25,IF(AND(AP10&lt;=7,AP10&gt;3.5),1,IF(AND(AP10&lt;=3.5,AP10&gt;1.7),0.75,IF(AND(AP10&lt;=1.7,AP10&gt;0),0.5,IF(AND(AP10&lt;=0,AP10&gt;-1),0)))))))))))</f>
        <v>#N/A</v>
      </c>
      <c r="AR10" s="61">
        <f>SUM('FU Distribution'!AU72:$AU$109)</f>
        <v>0</v>
      </c>
      <c r="AS10" s="98" t="e">
        <f>FORECAST(AR10,INDEX($B$3:$B$45,MATCH(AR10,$A$3:$A$45,1)):INDEX($B$3:$B$45,MATCH(AR10,$A$3:$A$45,1)+1),INDEX($A$3:$A$45,MATCH(AR10,$A$3:$A$45,1)):INDEX($A$3:$A$45,MATCH(AR10,$A$3:$A$45,1)+1))</f>
        <v>#N/A</v>
      </c>
      <c r="AT10" s="97" t="e">
        <f>IF(AND(AS10&lt;=750,AS10&gt;250),6,IF(AND(AS10&lt;=250,AS10&gt;120),4,IF(AND(AS10&lt;=120,AS10&gt;75),3,IF(AND(AS10&lt;=75,AS10&gt;40),2.5,IF(AND(AS10&lt;=40,AS10&gt;20),2,IF(AND(AS10&lt;=20,AS10&gt;14),1.5,IF(AND(AS10&lt;=14,AS10&gt;7),1.25,IF(AND(AS10&lt;=7,AS10&gt;3.5),1,IF(AND(AS10&lt;=3.5,AS10&gt;1.7),0.75,IF(AND(AS10&lt;=1.7,AS10&gt;0),0.5,IF(AND(AS10&lt;=0,AS10&gt;-1),0)))))))))))</f>
        <v>#N/A</v>
      </c>
      <c r="AU10" s="61">
        <f>SUM('FU Distribution'!AW72:$AW$109)+IF('FU Distribution'!$D$112=8,'FU Distribution'!$D$114,0)</f>
        <v>0</v>
      </c>
      <c r="AV10" s="98" t="e">
        <f>FORECAST(AU10,INDEX($B$3:$B$45,MATCH(AU10,$A$3:$A$45,1)):INDEX($B$3:$B$45,MATCH(AU10,$A$3:$A$45,1)+1),INDEX($A$3:$A$45,MATCH(AU10,$A$3:$A$45,1)):INDEX($A$3:$A$45,MATCH(AU10,$A$3:$A$45,1)+1))</f>
        <v>#N/A</v>
      </c>
      <c r="AW10" s="97" t="e">
        <f>IF(AND(AV10&lt;=750,AV10&gt;250),6,IF(AND(AV10&lt;=250,AV10&gt;120),4,IF(AND(AV10&lt;=120,AV10&gt;75),3,IF(AND(AV10&lt;=75,AV10&gt;40),2.5,IF(AND(AV10&lt;=40,AV10&gt;20),2,IF(AND(AV10&lt;=20,AV10&gt;14),1.5,IF(AND(AV10&lt;=14,AV10&gt;7),1.25,IF(AND(AV10&lt;=7,AV10&gt;3.5),1,IF(AND(AV10&lt;=3.5,AV10&gt;1.7),0.75,IF(AND(AV10&lt;=1.7,AV10&gt;0),0.5,IF(AND(AV10&lt;=0,AV10&gt;-1),0)))))))))))</f>
        <v>#N/A</v>
      </c>
      <c r="AX10" s="61">
        <f>SUM('FU Distribution'!AX72:$AX$109)</f>
        <v>0</v>
      </c>
      <c r="AY10" s="98" t="e">
        <f>FORECAST(AX10,INDEX($B$3:$B$45,MATCH(AX10,$A$3:$A$45,1)):INDEX($B$3:$B$45,MATCH(AX10,$A$3:$A$45,1)+1),INDEX($A$3:$A$45,MATCH(AX10,$A$3:$A$45,1)):INDEX($A$3:$A$45,MATCH(AX10,$A$3:$A$45,1)+1))</f>
        <v>#N/A</v>
      </c>
      <c r="AZ10" s="97" t="e">
        <f>IF(AND(AY10&lt;=750,AY10&gt;250),6,IF(AND(AY10&lt;=250,AY10&gt;120),4,IF(AND(AY10&lt;=120,AY10&gt;75),3,IF(AND(AY10&lt;=75,AY10&gt;40),2.5,IF(AND(AY10&lt;=40,AY10&gt;20),2,IF(AND(AY10&lt;=20,AY10&gt;14),1.5,IF(AND(AY10&lt;=14,AY10&gt;7),1.25,IF(AND(AY10&lt;=7,AY10&gt;3.5),1,IF(AND(AY10&lt;=3.5,AY10&gt;1.7),0.75,IF(AND(AY10&lt;=1.7,AY10&gt;0),0.5,IF(AND(AY10&lt;=0,AY10&gt;-1),0)))))))))))</f>
        <v>#N/A</v>
      </c>
      <c r="BA10" s="75">
        <f>SUM('FU Distribution'!AZ72:$AZ$109)+IF('FU Distribution'!$D$112=9,'FU Distribution'!$D$114,0)</f>
        <v>0</v>
      </c>
      <c r="BB10" s="76" t="e">
        <f>FORECAST((SUM(BA10:BA1005)),INDEX($B$3:$B$45,MATCH((SUM(BA10:BA1005)),$A$3:$A$45,1)):INDEX($B$3:$B$45,MATCH((SUM(BA10:BA1005)),$A$3:$A$45,1)+1),INDEX($A$3:$A$45,MATCH((SUM(BA10:BA1005)),$A$3:$A$45,1)):INDEX($A$3:$A$45,MATCH((SUM(BA10:BA1005)),$A$3:$A$45,1)+1))</f>
        <v>#N/A</v>
      </c>
      <c r="BC10" s="77" t="e">
        <f t="shared" si="3"/>
        <v>#N/A</v>
      </c>
      <c r="BD10" s="75">
        <f>SUM('FU Distribution'!BA72:$BA$109)</f>
        <v>0</v>
      </c>
      <c r="BE10" s="76" t="e">
        <f>FORECAST((SUM(BD10:BD1005)),INDEX($B$3:$B$45,MATCH((SUM(BD10:BD1005)),$A$3:$A$45,1)):INDEX($B$3:$B$45,MATCH((SUM(BD10:BD1005)),$A$3:$A$45,1)+1),INDEX($A$3:$A$45,MATCH((SUM(BD10:BD1005)),$A$3:$A$45,1)):INDEX($A$3:$A$45,MATCH((SUM(BD10:BD1005)),$A$3:$A$45,1)+1))</f>
        <v>#N/A</v>
      </c>
      <c r="BF10" s="77" t="e">
        <f t="shared" si="4"/>
        <v>#N/A</v>
      </c>
      <c r="BG10" s="61">
        <f>SUM('FU Distribution'!BC72:$BC$109)+IF('FU Distribution'!$D$112=10,'FU Distribution'!$D$114,0)</f>
        <v>0</v>
      </c>
      <c r="BH10" s="62" t="e">
        <f>FORECAST((SUM(BG10:BG1005)),INDEX($B$3:$B$45,MATCH((SUM(BG10:BG1005)),$A$3:$A$45,1)):INDEX($B$3:$B$45,MATCH((SUM(BG10:BG1005)),$A$3:$A$45,1)+1),INDEX($A$3:$A$45,MATCH((SUM(BG10:BG1005)),$A$3:$A$45,1)):INDEX($A$3:$A$45,MATCH((SUM(BG10:BG1005)),$A$3:$A$45,1)+1))</f>
        <v>#N/A</v>
      </c>
      <c r="BI10" s="74" t="e">
        <f t="shared" si="5"/>
        <v>#N/A</v>
      </c>
      <c r="BJ10" s="61">
        <f>SUM('FU Distribution'!BD72:$BD$109)</f>
        <v>0</v>
      </c>
      <c r="BK10" s="62" t="e">
        <f>FORECAST((SUM(BJ10:BJ1005)),INDEX($B$3:$B$45,MATCH((SUM(BJ10:BJ1005)),$A$3:$A$45,1)):INDEX($B$3:$B$45,MATCH((SUM(BJ10:BJ1005)),$A$3:$A$45,1)+1),INDEX($A$3:$A$45,MATCH((SUM(BJ10:BJ1005)),$A$3:$A$45,1)):INDEX($A$3:$A$45,MATCH((SUM(BJ10:BJ1005)),$A$3:$A$45,1)+1))</f>
        <v>#N/A</v>
      </c>
      <c r="BL10" s="74" t="e">
        <f t="shared" si="6"/>
        <v>#N/A</v>
      </c>
      <c r="BM10" s="75">
        <f>SUM('FU Distribution'!BF72:$BF$109)+IF('FU Distribution'!$D$112=11,'FU Distribution'!$D$114,0)</f>
        <v>0</v>
      </c>
      <c r="BN10" s="76" t="e">
        <f>FORECAST((SUM(BM10:BM1005)),INDEX($B$3:$B$45,MATCH((SUM(BM10:BM1005)),$A$3:$A$45,1)):INDEX($B$3:$B$45,MATCH((SUM(BM10:BM1005)),$A$3:$A$45,1)+1),INDEX($A$3:$A$45,MATCH((SUM(BM10:BM1005)),$A$3:$A$45,1)):INDEX($A$3:$A$45,MATCH((SUM(BM10:BM1005)),$A$3:$A$45,1)+1))</f>
        <v>#N/A</v>
      </c>
      <c r="BO10" s="77" t="e">
        <f t="shared" si="7"/>
        <v>#N/A</v>
      </c>
      <c r="BP10" s="75">
        <f>SUM('FU Distribution'!BG72:$BG$109)</f>
        <v>0</v>
      </c>
      <c r="BQ10" s="76" t="e">
        <f>FORECAST((SUM(BP10:BP1005)),INDEX($B$3:$B$45,MATCH((SUM(BP10:BP1005)),$A$3:$A$45,1)):INDEX($B$3:$B$45,MATCH((SUM(BP10:BP1005)),$A$3:$A$45,1)+1),INDEX($A$3:$A$45,MATCH((SUM(BP10:BP1005)),$A$3:$A$45,1)):INDEX($A$3:$A$45,MATCH((SUM(BP10:BP1005)),$A$3:$A$45,1)+1))</f>
        <v>#N/A</v>
      </c>
      <c r="BR10" s="77" t="e">
        <f t="shared" si="8"/>
        <v>#N/A</v>
      </c>
      <c r="BS10" s="61">
        <f>SUM('FU Distribution'!BI72:$BI$109)+IF('FU Distribution'!$D$112=12,'FU Distribution'!$D$114,0)</f>
        <v>0</v>
      </c>
      <c r="BT10" s="62" t="e">
        <f>FORECAST(BS10,INDEX($B$3:$B$45,MATCH(BS10,$A$3:$A$45,1)):INDEX($B$3:$B$45,MATCH(BS10,$A$3:$A$45,1)+1),INDEX($A$3:$A$45,MATCH(BS10,$A$3:$A$45,1)):INDEX($A$3:$A$45,MATCH(BS10,$A$3:$A$45,1)+1))</f>
        <v>#N/A</v>
      </c>
      <c r="BU10" s="74" t="e">
        <f t="shared" si="9"/>
        <v>#N/A</v>
      </c>
      <c r="BV10" s="61">
        <f>SUM('FU Distribution'!BJ72:$BJ$109)</f>
        <v>0</v>
      </c>
      <c r="BW10" s="62" t="e">
        <f>FORECAST(BV10,INDEX($B$3:$B$45,MATCH(BV10,$A$3:$A$45,1)):INDEX($B$3:$B$45,MATCH(BV10,$A$3:$A$45,1)+1),INDEX($A$3:$A$45,MATCH(BV10,$A$3:$A$45,1)):INDEX($A$3:$A$45,MATCH(BV10,$A$3:$A$45,1)+1))</f>
        <v>#N/A</v>
      </c>
      <c r="BX10" s="74" t="e">
        <f t="shared" si="10"/>
        <v>#N/A</v>
      </c>
      <c r="BY10" s="75">
        <f>SUM('FU Distribution'!BL72:$BL$109)+IF('FU Distribution'!$D$112=13,'FU Distribution'!$D$114,0)</f>
        <v>0</v>
      </c>
      <c r="BZ10" s="76" t="e">
        <f>FORECAST(BY10,INDEX($B$3:$B$45,MATCH(BY10,$A$3:$A$45,1)):INDEX($B$3:$B$45,MATCH(BY10,$A$3:$A$45,1)+1),INDEX($A$3:$A$45,MATCH(BY10,$A$3:$A$45,1)):INDEX($A$3:$A$45,MATCH(BY10,$A$3:$A$45,1)+1))</f>
        <v>#N/A</v>
      </c>
      <c r="CA10" s="77" t="e">
        <f t="shared" si="11"/>
        <v>#N/A</v>
      </c>
      <c r="CB10" s="75">
        <f>SUM('FU Distribution'!BM72:$BM$109)</f>
        <v>0</v>
      </c>
      <c r="CC10" s="76" t="e">
        <f>FORECAST(CB10,INDEX($B$3:$B$45,MATCH(CB10,$A$3:$A$45,1)):INDEX($B$3:$B$45,MATCH(CB10,$A$3:$A$45,1)+1),INDEX($A$3:$A$45,MATCH(CB10,$A$3:$A$45,1)):INDEX($A$3:$A$45,MATCH(CB10,$A$3:$A$45,1)+1))</f>
        <v>#N/A</v>
      </c>
      <c r="CD10" s="77" t="e">
        <f t="shared" si="12"/>
        <v>#N/A</v>
      </c>
      <c r="CE10" s="61">
        <f>SUM('FU Distribution'!BO72:$BO$109)+IF('FU Distribution'!$D$112=13,'FU Distribution'!$D$114,0)</f>
        <v>0</v>
      </c>
      <c r="CF10" s="62" t="e">
        <f>FORECAST(CE10,INDEX($B$3:$B$45,MATCH(CE10,$A$3:$A$45,1)):INDEX($B$3:$B$45,MATCH(CE10,$A$3:$A$45,1)+1),INDEX($A$3:$A$45,MATCH(CE10,$A$3:$A$45,1)):INDEX($A$3:$A$45,MATCH(CE10,$A$3:$A$45,1)+1))</f>
        <v>#N/A</v>
      </c>
      <c r="CG10" s="74" t="e">
        <f t="shared" si="13"/>
        <v>#N/A</v>
      </c>
      <c r="CH10" s="61">
        <f>SUM('FU Distribution'!BP72:$BP$109)</f>
        <v>0</v>
      </c>
      <c r="CI10" s="62" t="e">
        <f>FORECAST(CH10,INDEX($B$3:$B$45,MATCH(CH10,$A$3:$A$45,1)):INDEX($B$3:$B$45,MATCH(CH10,$A$3:$A$45,1)+1),INDEX($A$3:$A$45,MATCH(CH10,$A$3:$A$45,1)):INDEX($A$3:$A$45,MATCH(CH10,$A$3:$A$45,1)+1))</f>
        <v>#N/A</v>
      </c>
      <c r="CJ10" s="74" t="e">
        <f t="shared" si="14"/>
        <v>#N/A</v>
      </c>
    </row>
    <row r="11" spans="1:88" x14ac:dyDescent="0.25">
      <c r="A11" s="2">
        <v>70</v>
      </c>
      <c r="B11" s="2">
        <v>37</v>
      </c>
      <c r="D11" s="52">
        <v>7</v>
      </c>
      <c r="E11" s="61">
        <f>SUM('FU Distribution'!AB73:$AB$109)+IF('FU Distribution'!$D$112=1,'FU Distribution'!$D$114,0)</f>
        <v>0</v>
      </c>
      <c r="F11" s="98" t="e">
        <f>FORECAST(E11,INDEX($B$3:$B$45,MATCH(E11,$A$3:$A$45,1)):INDEX($B$3:$B$45,MATCH(E11,$A$3:$A$45,1)+1),INDEX($A$3:$A$45,MATCH(E11,$A$3:$A$45,1)):INDEX($A$3:$A$45,MATCH(E11,$A$3:$A$45,1)+1))</f>
        <v>#N/A</v>
      </c>
      <c r="G11" s="99" t="e">
        <f t="shared" si="15"/>
        <v>#N/A</v>
      </c>
      <c r="H11" s="61">
        <f>SUM('FU Distribution'!AC73:$AC$109)</f>
        <v>0</v>
      </c>
      <c r="I11" s="98" t="e">
        <f>FORECAST(H11,INDEX($B$3:$B$45,MATCH(H11,$A$3:$A$45,1)):INDEX($B$3:$B$45,MATCH(H11,$A$3:$A$45,1)+1),INDEX($A$3:$A$45,MATCH(H11,$A$3:$A$45,1)):INDEX($A$3:$A$45,MATCH(H11,$A$3:$A$45,1)+1))</f>
        <v>#N/A</v>
      </c>
      <c r="J11" s="99" t="e">
        <f t="shared" si="2"/>
        <v>#N/A</v>
      </c>
      <c r="K11" s="75">
        <f>SUM('FU Distribution'!AE73:$AE$109)+IF('FU Distribution'!$D$112=2,'FU Distribution'!$D$114,0)</f>
        <v>0</v>
      </c>
      <c r="L11" s="100" t="e">
        <f>FORECAST(K11,INDEX($B$3:$B$45,MATCH(K11,$A$3:$A$45,1)):INDEX($B$3:$B$45,MATCH(K11,$A$3:$A$45,1)+1),INDEX($A$3:$A$45,MATCH(K11,$A$3:$A$45,1)):INDEX($A$3:$A$45,MATCH(K11,$A$3:$A$45,1)+1))</f>
        <v>#N/A</v>
      </c>
      <c r="M11" s="101" t="e">
        <f>IF(AND(L11&lt;=750,L11&gt;250),6,IF(AND(L11&lt;=250,L11&gt;120),4,IF(AND(L11&lt;=120,L11&gt;75),3,IF(AND(L11&lt;=75,L11&gt;40),2.5,IF(AND(L11&lt;=40,L11&gt;20),2,IF(AND(L11&lt;=20,L11&gt;14),1.5,IF(AND(L11&lt;=14,L11&gt;7),1.25,IF(AND(L11&lt;=7,L11&gt;3.5),1,IF(AND(L11&lt;=3.5,L11&gt;1.7),0.75,IF(AND(L11&lt;=1.7,L11&gt;0),0.5))))))))))</f>
        <v>#N/A</v>
      </c>
      <c r="N11" s="75">
        <f>SUM('FU Distribution'!AF73:$AF$109)</f>
        <v>0</v>
      </c>
      <c r="O11" s="100" t="e">
        <f>FORECAST(N11,INDEX($B$3:$B$45,MATCH(N11,$A$3:$A$45,1)):INDEX($B$3:$B$45,MATCH(N11,$A$3:$A$45,1)+1),INDEX($A$3:$A$45,MATCH(N11,$A$3:$A$45,1)):INDEX($A$3:$A$45,MATCH(N11,$A$3:$A$45,1)+1))</f>
        <v>#N/A</v>
      </c>
      <c r="P11" s="101" t="e">
        <f t="shared" si="16"/>
        <v>#N/A</v>
      </c>
      <c r="Q11" s="61">
        <f>SUM('FU Distribution'!AH73:$AH$109)+IF('FU Distribution'!$D$112=3,'FU Distribution'!$D$114,0)</f>
        <v>0</v>
      </c>
      <c r="R11" s="98" t="e">
        <f>FORECAST(Q11,INDEX($B$3:$B$45,MATCH(Q11,$A$3:$A$45,1)):INDEX($B$3:$B$45,MATCH(Q11,$A$3:$A$45,1)+1),INDEX($A$3:$A$45,MATCH(Q11,$A$3:$A$45,1)):INDEX($A$3:$A$45,MATCH(Q11,$A$3:$A$45,1)+1))</f>
        <v>#N/A</v>
      </c>
      <c r="S11" s="99" t="e">
        <f>IF(AND(R11&lt;=750,R11&gt;250),6,IF(AND(R11&lt;=250,R11&gt;120),4,IF(AND(R11&lt;=120,R11&gt;75),3,IF(AND(R11&lt;=75,R11&gt;40),2.5,IF(AND(R11&lt;=40,R11&gt;20),2,IF(AND(R11&lt;=20,R11&gt;14),1.5,IF(AND(R11&lt;=14,R11&gt;7),1.25,IF(AND(R11&lt;=7,R11&gt;3.5),1,IF(AND(R11&lt;=3.5,R11&gt;1.7),0.75,IF(AND(R11&lt;=1.7,R11&gt;0),0.5))))))))))</f>
        <v>#N/A</v>
      </c>
      <c r="T11" s="61">
        <f>SUM('FU Distribution'!AI73:$AI$109)</f>
        <v>0</v>
      </c>
      <c r="U11" s="98" t="e">
        <f>FORECAST(T11,INDEX($B$3:$B$45,MATCH(T11,$A$3:$A$45,1)):INDEX($B$3:$B$45,MATCH(T11,$A$3:$A$45,1)+1),INDEX($A$3:$A$45,MATCH(T11,$A$3:$A$45,1)):INDEX($A$3:$A$45,MATCH(T11,$A$3:$A$45,1)+1))</f>
        <v>#N/A</v>
      </c>
      <c r="V11" s="99" t="e">
        <f t="shared" si="0"/>
        <v>#N/A</v>
      </c>
      <c r="W11" s="75">
        <f>SUM('FU Distribution'!AK73:$AK$109)+IF('FU Distribution'!$D$112=4,'FU Distribution'!$D$114,0)</f>
        <v>0</v>
      </c>
      <c r="X11" s="100" t="e">
        <f>FORECAST(W11,INDEX($B$3:$B$45,MATCH(W11,$A$3:$A$45,1)):INDEX($B$3:$B$45,MATCH(W11,$A$3:$A$45,1)+1),INDEX($A$3:$A$45,MATCH(W11,$A$3:$A$45,1)):INDEX($A$3:$A$45,MATCH(W11,$A$3:$A$45,1)+1))</f>
        <v>#N/A</v>
      </c>
      <c r="Y11" s="101" t="e">
        <f t="shared" si="1"/>
        <v>#N/A</v>
      </c>
      <c r="Z11" s="75">
        <f>SUM('FU Distribution'!AL73:$AL$109)</f>
        <v>0</v>
      </c>
      <c r="AA11" s="100" t="e">
        <f>FORECAST(Z11,INDEX($B$3:$B$45,MATCH(Z11,$A$3:$A$45,1)):INDEX($B$3:$B$45,MATCH(Z11,$A$3:$A$45,1)+1),INDEX($A$3:$A$45,MATCH(Z11,$A$3:$A$45,1)):INDEX($A$3:$A$45,MATCH(Z11,$A$3:$A$45,1)+1))</f>
        <v>#N/A</v>
      </c>
      <c r="AB11" s="101" t="e">
        <f t="shared" si="17"/>
        <v>#N/A</v>
      </c>
      <c r="AC11" s="61">
        <f>SUM('FU Distribution'!AN73:$AN$109)+IF('FU Distribution'!$D$112=5,'FU Distribution'!$D$114,0)</f>
        <v>0</v>
      </c>
      <c r="AD11" s="98" t="e">
        <f>FORECAST(AC11,INDEX($B$3:$B$45,MATCH(AC11,$A$3:$A$45,1)):INDEX($B$3:$B$45,MATCH(AC11,$A$3:$A$45,1)+1),INDEX($A$3:$A$45,MATCH(AC11,$A$3:$A$45,1)):INDEX($A$3:$A$45,MATCH(AC11,$A$3:$A$45,1)+1))</f>
        <v>#N/A</v>
      </c>
      <c r="AE11" s="99" t="e">
        <f>IF(AND(AD11&lt;=750,AD11&gt;250),6,IF(AND(AD11&lt;=250,AD11&gt;120),4,IF(AND(AD11&lt;=120,AD11&gt;75),3,IF(AND(AD11&lt;=75,AD11&gt;40),2.5,IF(AND(AD11&lt;=40,AD11&gt;20),2,IF(AND(AD11&lt;=20,AD11&gt;14),1.5,IF(AND(AD11&lt;=14,AD11&gt;7),1.25,IF(AND(AD11&lt;=7,AD11&gt;3.5),1,IF(AND(AD11&lt;=3.5,AD11&gt;1.7),0.75,IF(AND(AD11&lt;=1.7,AD11&gt;0),0.5))))))))))</f>
        <v>#N/A</v>
      </c>
      <c r="AF11" s="61">
        <f>SUM('FU Distribution'!AO73:$AO$109)</f>
        <v>0</v>
      </c>
      <c r="AG11" s="98" t="e">
        <f>FORECAST(AF11,INDEX($B$3:$B$45,MATCH(AF11,$A$3:$A$45,1)):INDEX($B$3:$B$45,MATCH(AF11,$A$3:$A$45,1)+1),INDEX($A$3:$A$45,MATCH(AF11,$A$3:$A$45,1)):INDEX($A$3:$A$45,MATCH(AF11,$A$3:$A$45,1)+1))</f>
        <v>#N/A</v>
      </c>
      <c r="AH11" s="99" t="e">
        <f t="shared" si="18"/>
        <v>#N/A</v>
      </c>
      <c r="AI11" s="75">
        <f>SUM('FU Distribution'!AQ73:$AQ$109)+IF('FU Distribution'!$D$112=6,'FU Distribution'!$D$114,0)</f>
        <v>0</v>
      </c>
      <c r="AJ11" s="100" t="e">
        <f>FORECAST(AI11,INDEX($B$3:$B$45,MATCH(AI11,$A$3:$A$45,1)):INDEX($B$3:$B$45,MATCH(AI11,$A$3:$A$45,1)+1),INDEX($A$3:$A$45,MATCH(AI11,$A$3:$A$45,1)):INDEX($A$3:$A$45,MATCH(AI11,$A$3:$A$45,1)+1))</f>
        <v>#N/A</v>
      </c>
      <c r="AK11" s="101" t="e">
        <f>IF(AND(AJ11&lt;=750,AJ11&gt;250),6,IF(AND(AJ11&lt;=250,AJ11&gt;120),4,IF(AND(AJ11&lt;=120,AJ11&gt;75),3,IF(AND(AJ11&lt;=75,AJ11&gt;40),2.5,IF(AND(AJ11&lt;=40,AJ11&gt;20),2,IF(AND(AJ11&lt;=20,AJ11&gt;14),1.5,IF(AND(AJ11&lt;=14,AJ11&gt;7),1.25,IF(AND(AJ11&lt;=7,AJ11&gt;3.5),1,IF(AND(AJ11&lt;=3.5,AJ11&gt;1.7),0.75,IF(AND(AJ11&lt;=1.7,AJ11&gt;0),0.5))))))))))</f>
        <v>#N/A</v>
      </c>
      <c r="AL11" s="75">
        <f>SUM('FU Distribution'!AR73:$AR$109)</f>
        <v>0</v>
      </c>
      <c r="AM11" s="100" t="e">
        <f>FORECAST(AL11,INDEX($B$3:$B$45,MATCH(AL11,$A$3:$A$45,1)):INDEX($B$3:$B$45,MATCH(AL11,$A$3:$A$45,1)+1),INDEX($A$3:$A$45,MATCH(AL11,$A$3:$A$45,1)):INDEX($A$3:$A$45,MATCH(AL11,$A$3:$A$45,1)+1))</f>
        <v>#N/A</v>
      </c>
      <c r="AN11" s="101" t="e">
        <f t="shared" si="19"/>
        <v>#N/A</v>
      </c>
      <c r="AO11" s="61">
        <f>SUM('FU Distribution'!AT73:$AT$109)+IF('FU Distribution'!$D$112=7,'FU Distribution'!$D$114,0)</f>
        <v>0</v>
      </c>
      <c r="AP11" s="98" t="e">
        <f>FORECAST(AO11,INDEX($B$3:$B$45,MATCH(AO11,$A$3:$A$45,1)):INDEX($B$3:$B$45,MATCH(AO11,$A$3:$A$45,1)+1),INDEX($A$3:$A$45,MATCH(AO11,$A$3:$A$45,1)):INDEX($A$3:$A$45,MATCH(AO11,$A$3:$A$45,1)+1))</f>
        <v>#N/A</v>
      </c>
      <c r="AQ11" s="99" t="e">
        <f>IF(AND(AP11&lt;=750,AP11&gt;250),6,IF(AND(AP11&lt;=250,AP11&gt;120),4,IF(AND(AP11&lt;=120,AP11&gt;75),3,IF(AND(AP11&lt;=75,AP11&gt;40),2.5,IF(AND(AP11&lt;=40,AP11&gt;20),2,IF(AND(AP11&lt;=20,AP11&gt;14),1.5,IF(AND(AP11&lt;=14,AP11&gt;7),1.25,IF(AND(AP11&lt;=7,AP11&gt;3.5),1,IF(AND(AP11&lt;=3.5,AP11&gt;1.7),0.75,IF(AND(AP11&lt;=1.7,AP11&gt;0),0.5))))))))))</f>
        <v>#N/A</v>
      </c>
      <c r="AR11" s="61">
        <f>SUM('FU Distribution'!AU73:$AU$109)</f>
        <v>0</v>
      </c>
      <c r="AS11" s="98" t="e">
        <f>FORECAST(AR11,INDEX($B$3:$B$45,MATCH(AR11,$A$3:$A$45,1)):INDEX($B$3:$B$45,MATCH(AR11,$A$3:$A$45,1)+1),INDEX($A$3:$A$45,MATCH(AR11,$A$3:$A$45,1)):INDEX($A$3:$A$45,MATCH(AR11,$A$3:$A$45,1)+1))</f>
        <v>#N/A</v>
      </c>
      <c r="AT11" s="99" t="e">
        <f t="shared" si="20"/>
        <v>#N/A</v>
      </c>
      <c r="AU11" s="61">
        <f>SUM('FU Distribution'!AW73:$AW$109)+IF('FU Distribution'!$D$112=8,'FU Distribution'!$D$114,0)</f>
        <v>0</v>
      </c>
      <c r="AV11" s="98" t="e">
        <f>FORECAST(AU11,INDEX($B$3:$B$45,MATCH(AU11,$A$3:$A$45,1)):INDEX($B$3:$B$45,MATCH(AU11,$A$3:$A$45,1)+1),INDEX($A$3:$A$45,MATCH(AU11,$A$3:$A$45,1)):INDEX($A$3:$A$45,MATCH(AU11,$A$3:$A$45,1)+1))</f>
        <v>#N/A</v>
      </c>
      <c r="AW11" s="99" t="e">
        <f>IF(AND(AV11&lt;=750,AV11&gt;250),6,IF(AND(AV11&lt;=250,AV11&gt;120),4,IF(AND(AV11&lt;=120,AV11&gt;75),3,IF(AND(AV11&lt;=75,AV11&gt;40),2.5,IF(AND(AV11&lt;=40,AV11&gt;20),2,IF(AND(AV11&lt;=20,AV11&gt;14),1.5,IF(AND(AV11&lt;=14,AV11&gt;7),1.25,IF(AND(AV11&lt;=7,AV11&gt;3.5),1,IF(AND(AV11&lt;=3.5,AV11&gt;1.7),0.75,IF(AND(AV11&lt;=1.7,AV11&gt;0),0.5))))))))))</f>
        <v>#N/A</v>
      </c>
      <c r="AX11" s="61">
        <f>SUM('FU Distribution'!AX73:$AX$109)</f>
        <v>0</v>
      </c>
      <c r="AY11" s="98" t="e">
        <f>FORECAST(AX11,INDEX($B$3:$B$45,MATCH(AX11,$A$3:$A$45,1)):INDEX($B$3:$B$45,MATCH(AX11,$A$3:$A$45,1)+1),INDEX($A$3:$A$45,MATCH(AX11,$A$3:$A$45,1)):INDEX($A$3:$A$45,MATCH(AX11,$A$3:$A$45,1)+1))</f>
        <v>#N/A</v>
      </c>
      <c r="AZ11" s="99" t="e">
        <f t="shared" ref="AZ11:AZ15" si="22">IF(AND(AY11&lt;=750,AY11&gt;250),6,IF(AND(AY11&lt;=250,AY11&gt;120),4,IF(AND(AY11&lt;=120,AY11&gt;75),3,IF(AND(AY11&lt;=75,AY11&gt;40),2.5,IF(AND(AY11&lt;=40,AY11&gt;20),2,IF(AND(AY11&lt;=20,AY11&gt;14),1.5,IF(AND(AY11&lt;=14,AY11&gt;7),1.25,IF(AND(AY11&lt;=7,AY11&gt;3.5),1,IF(AND(AY11&lt;=3.5,AY11&gt;1.7),0.75,IF(AND(AY11&lt;=1.7,AY11&gt;0),0.5))))))))))</f>
        <v>#N/A</v>
      </c>
      <c r="BA11" s="75">
        <f>SUM('FU Distribution'!AZ73:$AZ$109)+IF('FU Distribution'!$D$112=9,'FU Distribution'!$D$114,0)</f>
        <v>0</v>
      </c>
      <c r="BB11" s="76" t="e">
        <f>FORECAST((SUM(BA11:BA1006)),INDEX($B$3:$B$45,MATCH((SUM(BA11:BA1006)),$A$3:$A$45,1)):INDEX($B$3:$B$45,MATCH((SUM(BA11:BA1006)),$A$3:$A$45,1)+1),INDEX($A$3:$A$45,MATCH((SUM(BA11:BA1006)),$A$3:$A$45,1)):INDEX($A$3:$A$45,MATCH((SUM(BA11:BA1006)),$A$3:$A$45,1)+1))</f>
        <v>#N/A</v>
      </c>
      <c r="BC11" s="77" t="e">
        <f t="shared" si="3"/>
        <v>#N/A</v>
      </c>
      <c r="BD11" s="75">
        <f>SUM('FU Distribution'!BA73:$BA$109)</f>
        <v>0</v>
      </c>
      <c r="BE11" s="76" t="e">
        <f>FORECAST((SUM(BD11:BD1006)),INDEX($B$3:$B$45,MATCH((SUM(BD11:BD1006)),$A$3:$A$45,1)):INDEX($B$3:$B$45,MATCH((SUM(BD11:BD1006)),$A$3:$A$45,1)+1),INDEX($A$3:$A$45,MATCH((SUM(BD11:BD1006)),$A$3:$A$45,1)):INDEX($A$3:$A$45,MATCH((SUM(BD11:BD1006)),$A$3:$A$45,1)+1))</f>
        <v>#N/A</v>
      </c>
      <c r="BF11" s="77" t="e">
        <f t="shared" si="4"/>
        <v>#N/A</v>
      </c>
      <c r="BG11" s="61">
        <f>SUM('FU Distribution'!BC73:$BC$109)+IF('FU Distribution'!$D$112=10,'FU Distribution'!$D$114,0)</f>
        <v>0</v>
      </c>
      <c r="BH11" s="62" t="e">
        <f>FORECAST((SUM(BG11:BG1006)),INDEX($B$3:$B$45,MATCH((SUM(BG11:BG1006)),$A$3:$A$45,1)):INDEX($B$3:$B$45,MATCH((SUM(BG11:BG1006)),$A$3:$A$45,1)+1),INDEX($A$3:$A$45,MATCH((SUM(BG11:BG1006)),$A$3:$A$45,1)):INDEX($A$3:$A$45,MATCH((SUM(BG11:BG1006)),$A$3:$A$45,1)+1))</f>
        <v>#N/A</v>
      </c>
      <c r="BI11" s="74" t="e">
        <f t="shared" si="5"/>
        <v>#N/A</v>
      </c>
      <c r="BJ11" s="61">
        <f>SUM('FU Distribution'!BD73:$BD$109)</f>
        <v>0</v>
      </c>
      <c r="BK11" s="62" t="e">
        <f>FORECAST((SUM(BJ11:BJ1006)),INDEX($B$3:$B$45,MATCH((SUM(BJ11:BJ1006)),$A$3:$A$45,1)):INDEX($B$3:$B$45,MATCH((SUM(BJ11:BJ1006)),$A$3:$A$45,1)+1),INDEX($A$3:$A$45,MATCH((SUM(BJ11:BJ1006)),$A$3:$A$45,1)):INDEX($A$3:$A$45,MATCH((SUM(BJ11:BJ1006)),$A$3:$A$45,1)+1))</f>
        <v>#N/A</v>
      </c>
      <c r="BL11" s="74" t="e">
        <f t="shared" si="6"/>
        <v>#N/A</v>
      </c>
      <c r="BM11" s="75">
        <f>SUM('FU Distribution'!BF73:$BF$109)+IF('FU Distribution'!$D$112=11,'FU Distribution'!$D$114,0)</f>
        <v>0</v>
      </c>
      <c r="BN11" s="76" t="e">
        <f>FORECAST((SUM(BM11:BM1006)),INDEX($B$3:$B$45,MATCH((SUM(BM11:BM1006)),$A$3:$A$45,1)):INDEX($B$3:$B$45,MATCH((SUM(BM11:BM1006)),$A$3:$A$45,1)+1),INDEX($A$3:$A$45,MATCH((SUM(BM11:BM1006)),$A$3:$A$45,1)):INDEX($A$3:$A$45,MATCH((SUM(BM11:BM1006)),$A$3:$A$45,1)+1))</f>
        <v>#N/A</v>
      </c>
      <c r="BO11" s="77" t="e">
        <f t="shared" si="7"/>
        <v>#N/A</v>
      </c>
      <c r="BP11" s="75">
        <f>SUM('FU Distribution'!BG73:$BG$109)</f>
        <v>0</v>
      </c>
      <c r="BQ11" s="76" t="e">
        <f>FORECAST((SUM(BP11:BP1006)),INDEX($B$3:$B$45,MATCH((SUM(BP11:BP1006)),$A$3:$A$45,1)):INDEX($B$3:$B$45,MATCH((SUM(BP11:BP1006)),$A$3:$A$45,1)+1),INDEX($A$3:$A$45,MATCH((SUM(BP11:BP1006)),$A$3:$A$45,1)):INDEX($A$3:$A$45,MATCH((SUM(BP11:BP1006)),$A$3:$A$45,1)+1))</f>
        <v>#N/A</v>
      </c>
      <c r="BR11" s="77" t="e">
        <f t="shared" si="8"/>
        <v>#N/A</v>
      </c>
      <c r="BS11" s="61">
        <f>SUM('FU Distribution'!BI73:$BI$109)+IF('FU Distribution'!$D$112=12,'FU Distribution'!$D$114,0)</f>
        <v>0</v>
      </c>
      <c r="BT11" s="62" t="e">
        <f>FORECAST(BS11,INDEX($B$3:$B$45,MATCH(BS11,$A$3:$A$45,1)):INDEX($B$3:$B$45,MATCH(BS11,$A$3:$A$45,1)+1),INDEX($A$3:$A$45,MATCH(BS11,$A$3:$A$45,1)):INDEX($A$3:$A$45,MATCH(BS11,$A$3:$A$45,1)+1))</f>
        <v>#N/A</v>
      </c>
      <c r="BU11" s="74" t="e">
        <f t="shared" si="9"/>
        <v>#N/A</v>
      </c>
      <c r="BV11" s="61">
        <f>SUM('FU Distribution'!BJ73:$BJ$109)</f>
        <v>0</v>
      </c>
      <c r="BW11" s="62" t="e">
        <f>FORECAST(BV11,INDEX($B$3:$B$45,MATCH(BV11,$A$3:$A$45,1)):INDEX($B$3:$B$45,MATCH(BV11,$A$3:$A$45,1)+1),INDEX($A$3:$A$45,MATCH(BV11,$A$3:$A$45,1)):INDEX($A$3:$A$45,MATCH(BV11,$A$3:$A$45,1)+1))</f>
        <v>#N/A</v>
      </c>
      <c r="BX11" s="74" t="e">
        <f t="shared" si="10"/>
        <v>#N/A</v>
      </c>
      <c r="BY11" s="75">
        <f>SUM('FU Distribution'!BL73:$BL$109)+IF('FU Distribution'!$D$112=13,'FU Distribution'!$D$114,0)</f>
        <v>0</v>
      </c>
      <c r="BZ11" s="76" t="e">
        <f>FORECAST(BY11,INDEX($B$3:$B$45,MATCH(BY11,$A$3:$A$45,1)):INDEX($B$3:$B$45,MATCH(BY11,$A$3:$A$45,1)+1),INDEX($A$3:$A$45,MATCH(BY11,$A$3:$A$45,1)):INDEX($A$3:$A$45,MATCH(BY11,$A$3:$A$45,1)+1))</f>
        <v>#N/A</v>
      </c>
      <c r="CA11" s="77" t="e">
        <f t="shared" si="11"/>
        <v>#N/A</v>
      </c>
      <c r="CB11" s="75">
        <f>SUM('FU Distribution'!BM73:$BM$109)</f>
        <v>0</v>
      </c>
      <c r="CC11" s="76" t="e">
        <f>FORECAST(CB11,INDEX($B$3:$B$45,MATCH(CB11,$A$3:$A$45,1)):INDEX($B$3:$B$45,MATCH(CB11,$A$3:$A$45,1)+1),INDEX($A$3:$A$45,MATCH(CB11,$A$3:$A$45,1)):INDEX($A$3:$A$45,MATCH(CB11,$A$3:$A$45,1)+1))</f>
        <v>#N/A</v>
      </c>
      <c r="CD11" s="77" t="e">
        <f t="shared" si="12"/>
        <v>#N/A</v>
      </c>
      <c r="CE11" s="61">
        <f>SUM('FU Distribution'!BO73:$BO$109)+IF('FU Distribution'!$D$112=13,'FU Distribution'!$D$114,0)</f>
        <v>0</v>
      </c>
      <c r="CF11" s="62" t="e">
        <f>FORECAST(CE11,INDEX($B$3:$B$45,MATCH(CE11,$A$3:$A$45,1)):INDEX($B$3:$B$45,MATCH(CE11,$A$3:$A$45,1)+1),INDEX($A$3:$A$45,MATCH(CE11,$A$3:$A$45,1)):INDEX($A$3:$A$45,MATCH(CE11,$A$3:$A$45,1)+1))</f>
        <v>#N/A</v>
      </c>
      <c r="CG11" s="74" t="e">
        <f t="shared" si="13"/>
        <v>#N/A</v>
      </c>
      <c r="CH11" s="61">
        <f>SUM('FU Distribution'!BP73:$BP$109)</f>
        <v>0</v>
      </c>
      <c r="CI11" s="62" t="e">
        <f>FORECAST(CH11,INDEX($B$3:$B$45,MATCH(CH11,$A$3:$A$45,1)):INDEX($B$3:$B$45,MATCH(CH11,$A$3:$A$45,1)+1),INDEX($A$3:$A$45,MATCH(CH11,$A$3:$A$45,1)):INDEX($A$3:$A$45,MATCH(CH11,$A$3:$A$45,1)+1))</f>
        <v>#N/A</v>
      </c>
      <c r="CJ11" s="74" t="e">
        <f t="shared" si="14"/>
        <v>#N/A</v>
      </c>
    </row>
    <row r="12" spans="1:88" x14ac:dyDescent="0.25">
      <c r="A12" s="2">
        <v>80</v>
      </c>
      <c r="B12" s="2">
        <v>40</v>
      </c>
      <c r="D12" s="52">
        <v>8</v>
      </c>
      <c r="E12" s="61">
        <f>SUM('FU Distribution'!AB74:$AB$109)+IF('FU Distribution'!$D$112=1,'FU Distribution'!$D$114,0)</f>
        <v>0</v>
      </c>
      <c r="F12" s="96" t="e">
        <f>FORECAST((SUM(E12:E1007)),INDEX($B$3:$B$45,MATCH((SUM(E12:E1007)),$A$3:$A$45,1)):INDEX($B$3:$B$45,MATCH((SUM(E12:E1007)),$A$3:$A$45,1)+1),INDEX($A$3:$A$45,MATCH((SUM(E12:E1007)),$A$3:$A$45,1)):INDEX($A$3:$A$45,MATCH((SUM(E12:E1007)),$A$3:$A$45,1)+1))</f>
        <v>#N/A</v>
      </c>
      <c r="G12" s="97" t="e">
        <f t="shared" si="15"/>
        <v>#N/A</v>
      </c>
      <c r="H12" s="61">
        <f>SUM('FU Distribution'!AC74:$AC$109)</f>
        <v>0</v>
      </c>
      <c r="I12" s="96" t="e">
        <f>FORECAST((SUM(H12:H1007)),INDEX($B$3:$B$45,MATCH((SUM(H12:H1007)),$A$3:$A$45,1)):INDEX($B$3:$B$45,MATCH((SUM(H12:H1007)),$A$3:$A$45,1)+1),INDEX($A$3:$A$45,MATCH((SUM(H12:H1007)),$A$3:$A$45,1)):INDEX($A$3:$A$45,MATCH((SUM(H12:H1007)),$A$3:$A$45,1)+1))</f>
        <v>#N/A</v>
      </c>
      <c r="J12" s="97" t="e">
        <f t="shared" ref="J12:J13" si="23">IF(AND(I12&lt;=750,I12&gt;250),6,IF(AND(I12&lt;=250,I12&gt;120),4,IF(AND(I12&lt;=120,I12&gt;75),3,IF(AND(I12&lt;=75,I12&gt;40),2.5,IF(AND(I12&lt;=40,I12&gt;20),2,IF(AND(I12&lt;=20,I12&gt;14),1.5,IF(AND(I12&lt;=14,I12&gt;7),1.25,IF(AND(I12&lt;=7,I12&gt;3.5),1,IF(AND(I12&lt;=3.5,I12&gt;1.7),0.75,IF(AND(I12&lt;=1.7,I12&gt;0),0.5))))))))))</f>
        <v>#N/A</v>
      </c>
      <c r="K12" s="75">
        <f>SUM('FU Distribution'!AE74:$AE$109)+IF('FU Distribution'!$D$112=2,'FU Distribution'!$D$114,0)</f>
        <v>0</v>
      </c>
      <c r="L12" s="96" t="e">
        <f>FORECAST((SUM(K12:K1007)),INDEX($B$3:$B$45,MATCH((SUM(K12:K1007)),$A$3:$A$45,1)):INDEX($B$3:$B$45,MATCH((SUM(K12:K1007)),$A$3:$A$45,1)+1),INDEX($A$3:$A$45,MATCH((SUM(K12:K1007)),$A$3:$A$45,1)):INDEX($A$3:$A$45,MATCH((SUM(K12:K1007)),$A$3:$A$45,1)+1))</f>
        <v>#N/A</v>
      </c>
      <c r="M12" s="97" t="e">
        <f t="shared" ref="M12:M15" si="24">IF(AND(L12&lt;=750,L12&gt;250),6,IF(AND(L12&lt;=250,L12&gt;120),4,IF(AND(L12&lt;=120,L12&gt;75),3,IF(AND(L12&lt;=75,L12&gt;40),2.5,IF(AND(L12&lt;=40,L12&gt;20),2,IF(AND(L12&lt;=20,L12&gt;14),1.5,IF(AND(L12&lt;=14,L12&gt;7),1.25,IF(AND(L12&lt;=7,L12&gt;3.5),1,IF(AND(L12&lt;=3.5,L12&gt;1.7),0.75,IF(AND(L12&lt;=1.7,L12&gt;0),0.5))))))))))</f>
        <v>#N/A</v>
      </c>
      <c r="N12" s="75">
        <f>SUM('FU Distribution'!AF74:$AF$109)</f>
        <v>0</v>
      </c>
      <c r="O12" s="96" t="e">
        <f>FORECAST((SUM(N12:N1007)),INDEX($B$3:$B$45,MATCH((SUM(N12:N1007)),$A$3:$A$45,1)):INDEX($B$3:$B$45,MATCH((SUM(N12:N1007)),$A$3:$A$45,1)+1),INDEX($A$3:$A$45,MATCH((SUM(N12:N1007)),$A$3:$A$45,1)):INDEX($A$3:$A$45,MATCH((SUM(N12:N1007)),$A$3:$A$45,1)+1))</f>
        <v>#N/A</v>
      </c>
      <c r="P12" s="97" t="e">
        <f t="shared" si="16"/>
        <v>#N/A</v>
      </c>
      <c r="Q12" s="61">
        <f>SUM('FU Distribution'!AH74:$AH$109)+IF('FU Distribution'!$D$112=3,'FU Distribution'!$D$114,0)</f>
        <v>0</v>
      </c>
      <c r="R12" s="96" t="e">
        <f>FORECAST((SUM(Q12:Q1007)),INDEX($B$3:$B$45,MATCH((SUM(Q12:Q1007)),$A$3:$A$45,1)):INDEX($B$3:$B$45,MATCH((SUM(Q12:Q1007)),$A$3:$A$45,1)+1),INDEX($A$3:$A$45,MATCH((SUM(Q12:Q1007)),$A$3:$A$45,1)):INDEX($A$3:$A$45,MATCH((SUM(Q12:Q1007)),$A$3:$A$45,1)+1))</f>
        <v>#N/A</v>
      </c>
      <c r="S12" s="97" t="e">
        <f t="shared" ref="S12:S15" si="25">IF(AND(R12&lt;=750,R12&gt;250),6,IF(AND(R12&lt;=250,R12&gt;120),4,IF(AND(R12&lt;=120,R12&gt;75),3,IF(AND(R12&lt;=75,R12&gt;40),2.5,IF(AND(R12&lt;=40,R12&gt;20),2,IF(AND(R12&lt;=20,R12&gt;14),1.5,IF(AND(R12&lt;=14,R12&gt;7),1.25,IF(AND(R12&lt;=7,R12&gt;3.5),1,IF(AND(R12&lt;=3.5,R12&gt;1.7),0.75,IF(AND(R12&lt;=1.7,R12&gt;0),0.5))))))))))</f>
        <v>#N/A</v>
      </c>
      <c r="T12" s="61">
        <f>SUM('FU Distribution'!AI74:$AI$109)</f>
        <v>0</v>
      </c>
      <c r="U12" s="96" t="e">
        <f>FORECAST((SUM(T12:T1007)),INDEX($B$3:$B$45,MATCH((SUM(T12:T1007)),$A$3:$A$45,1)):INDEX($B$3:$B$45,MATCH((SUM(T12:T1007)),$A$3:$A$45,1)+1),INDEX($A$3:$A$45,MATCH((SUM(T12:T1007)),$A$3:$A$45,1)):INDEX($A$3:$A$45,MATCH((SUM(T12:T1007)),$A$3:$A$45,1)+1))</f>
        <v>#N/A</v>
      </c>
      <c r="V12" s="97" t="e">
        <f t="shared" si="0"/>
        <v>#N/A</v>
      </c>
      <c r="W12" s="75">
        <f>SUM('FU Distribution'!AK74:$AK$109)+IF('FU Distribution'!$D$112=4,'FU Distribution'!$D$114,0)</f>
        <v>0</v>
      </c>
      <c r="X12" s="96" t="e">
        <f>FORECAST((SUM(W12:W1007)),INDEX($B$3:$B$45,MATCH((SUM(W12:W1007)),$A$3:$A$45,1)):INDEX($B$3:$B$45,MATCH((SUM(W12:W1007)),$A$3:$A$45,1)+1),INDEX($A$3:$A$45,MATCH((SUM(W12:W1007)),$A$3:$A$45,1)):INDEX($A$3:$A$45,MATCH((SUM(W12:W1007)),$A$3:$A$45,1)+1))</f>
        <v>#N/A</v>
      </c>
      <c r="Y12" s="97" t="e">
        <f t="shared" si="1"/>
        <v>#N/A</v>
      </c>
      <c r="Z12" s="75">
        <f>SUM('FU Distribution'!AL74:$AL$109)</f>
        <v>0</v>
      </c>
      <c r="AA12" s="96" t="e">
        <f>FORECAST((SUM(Z12:Z1007)),INDEX($B$3:$B$45,MATCH((SUM(Z12:Z1007)),$A$3:$A$45,1)):INDEX($B$3:$B$45,MATCH((SUM(Z12:Z1007)),$A$3:$A$45,1)+1),INDEX($A$3:$A$45,MATCH((SUM(Z12:Z1007)),$A$3:$A$45,1)):INDEX($A$3:$A$45,MATCH((SUM(Z12:Z1007)),$A$3:$A$45,1)+1))</f>
        <v>#N/A</v>
      </c>
      <c r="AB12" s="97" t="e">
        <f t="shared" si="17"/>
        <v>#N/A</v>
      </c>
      <c r="AC12" s="61">
        <f>SUM('FU Distribution'!AN74:$AN$109)+IF('FU Distribution'!$D$112=5,'FU Distribution'!$D$114,0)</f>
        <v>0</v>
      </c>
      <c r="AD12" s="96" t="e">
        <f>FORECAST((SUM(AC12:AC1007)),INDEX($B$3:$B$45,MATCH((SUM(AC12:AC1007)),$A$3:$A$45,1)):INDEX($B$3:$B$45,MATCH((SUM(AC12:AC1007)),$A$3:$A$45,1)+1),INDEX($A$3:$A$45,MATCH((SUM(AC12:AC1007)),$A$3:$A$45,1)):INDEX($A$3:$A$45,MATCH((SUM(AC12:AC1007)),$A$3:$A$45,1)+1))</f>
        <v>#N/A</v>
      </c>
      <c r="AE12" s="97" t="e">
        <f t="shared" ref="AE12:AE15" si="26">IF(AND(AD12&lt;=750,AD12&gt;250),6,IF(AND(AD12&lt;=250,AD12&gt;120),4,IF(AND(AD12&lt;=120,AD12&gt;75),3,IF(AND(AD12&lt;=75,AD12&gt;40),2.5,IF(AND(AD12&lt;=40,AD12&gt;20),2,IF(AND(AD12&lt;=20,AD12&gt;14),1.5,IF(AND(AD12&lt;=14,AD12&gt;7),1.25,IF(AND(AD12&lt;=7,AD12&gt;3.5),1,IF(AND(AD12&lt;=3.5,AD12&gt;1.7),0.75,IF(AND(AD12&lt;=1.7,AD12&gt;0),0.5))))))))))</f>
        <v>#N/A</v>
      </c>
      <c r="AF12" s="61">
        <f>SUM('FU Distribution'!AO74:$AO$109)</f>
        <v>0</v>
      </c>
      <c r="AG12" s="96" t="e">
        <f>FORECAST((SUM(AF12:AF1007)),INDEX($B$3:$B$45,MATCH((SUM(AF12:AF1007)),$A$3:$A$45,1)):INDEX($B$3:$B$45,MATCH((SUM(AF12:AF1007)),$A$3:$A$45,1)+1),INDEX($A$3:$A$45,MATCH((SUM(AF12:AF1007)),$A$3:$A$45,1)):INDEX($A$3:$A$45,MATCH((SUM(AF12:AF1007)),$A$3:$A$45,1)+1))</f>
        <v>#N/A</v>
      </c>
      <c r="AH12" s="97" t="e">
        <f t="shared" si="18"/>
        <v>#N/A</v>
      </c>
      <c r="AI12" s="75">
        <f>SUM('FU Distribution'!AQ74:$AQ$109)+IF('FU Distribution'!$D$112=6,'FU Distribution'!$D$114,0)</f>
        <v>0</v>
      </c>
      <c r="AJ12" s="96" t="e">
        <f>FORECAST((SUM(AI12:AI1007)),INDEX($B$3:$B$45,MATCH((SUM(AI12:AI1007)),$A$3:$A$45,1)):INDEX($B$3:$B$45,MATCH((SUM(AI12:AI1007)),$A$3:$A$45,1)+1),INDEX($A$3:$A$45,MATCH((SUM(AI12:AI1007)),$A$3:$A$45,1)):INDEX($A$3:$A$45,MATCH((SUM(AI12:AI1007)),$A$3:$A$45,1)+1))</f>
        <v>#N/A</v>
      </c>
      <c r="AK12" s="97" t="e">
        <f t="shared" ref="AK12:AK15" si="27">IF(AND(AJ12&lt;=750,AJ12&gt;250),6,IF(AND(AJ12&lt;=250,AJ12&gt;120),4,IF(AND(AJ12&lt;=120,AJ12&gt;75),3,IF(AND(AJ12&lt;=75,AJ12&gt;40),2.5,IF(AND(AJ12&lt;=40,AJ12&gt;20),2,IF(AND(AJ12&lt;=20,AJ12&gt;14),1.5,IF(AND(AJ12&lt;=14,AJ12&gt;7),1.25,IF(AND(AJ12&lt;=7,AJ12&gt;3.5),1,IF(AND(AJ12&lt;=3.5,AJ12&gt;1.7),0.75,IF(AND(AJ12&lt;=1.7,AJ12&gt;0),0.5))))))))))</f>
        <v>#N/A</v>
      </c>
      <c r="AL12" s="75">
        <f>SUM('FU Distribution'!AR74:$AR$109)</f>
        <v>0</v>
      </c>
      <c r="AM12" s="96" t="e">
        <f>FORECAST((SUM(AL12:AL1007)),INDEX($B$3:$B$45,MATCH((SUM(AL12:AL1007)),$A$3:$A$45,1)):INDEX($B$3:$B$45,MATCH((SUM(AL12:AL1007)),$A$3:$A$45,1)+1),INDEX($A$3:$A$45,MATCH((SUM(AL12:AL1007)),$A$3:$A$45,1)):INDEX($A$3:$A$45,MATCH((SUM(AL12:AL1007)),$A$3:$A$45,1)+1))</f>
        <v>#N/A</v>
      </c>
      <c r="AN12" s="97" t="e">
        <f t="shared" si="19"/>
        <v>#N/A</v>
      </c>
      <c r="AO12" s="61">
        <f>SUM('FU Distribution'!AT74:$AT$109)+IF('FU Distribution'!$D$112=7,'FU Distribution'!$D$114,0)</f>
        <v>0</v>
      </c>
      <c r="AP12" s="96" t="e">
        <f>FORECAST((SUM(AO12:AO1007)),INDEX($B$3:$B$45,MATCH((SUM(AO12:AO1007)),$A$3:$A$45,1)):INDEX($B$3:$B$45,MATCH((SUM(AO12:AO1007)),$A$3:$A$45,1)+1),INDEX($A$3:$A$45,MATCH((SUM(AO12:AO1007)),$A$3:$A$45,1)):INDEX($A$3:$A$45,MATCH((SUM(AO12:AO1007)),$A$3:$A$45,1)+1))</f>
        <v>#N/A</v>
      </c>
      <c r="AQ12" s="97" t="e">
        <f t="shared" ref="AQ12:AQ15" si="28">IF(AND(AP12&lt;=750,AP12&gt;250),6,IF(AND(AP12&lt;=250,AP12&gt;120),4,IF(AND(AP12&lt;=120,AP12&gt;75),3,IF(AND(AP12&lt;=75,AP12&gt;40),2.5,IF(AND(AP12&lt;=40,AP12&gt;20),2,IF(AND(AP12&lt;=20,AP12&gt;14),1.5,IF(AND(AP12&lt;=14,AP12&gt;7),1.25,IF(AND(AP12&lt;=7,AP12&gt;3.5),1,IF(AND(AP12&lt;=3.5,AP12&gt;1.7),0.75,IF(AND(AP12&lt;=1.7,AP12&gt;0),0.5))))))))))</f>
        <v>#N/A</v>
      </c>
      <c r="AR12" s="61">
        <f>SUM('FU Distribution'!AU74:$AU$109)</f>
        <v>0</v>
      </c>
      <c r="AS12" s="96" t="e">
        <f>FORECAST((SUM(AR12:AR1007)),INDEX($B$3:$B$45,MATCH((SUM(AR12:AR1007)),$A$3:$A$45,1)):INDEX($B$3:$B$45,MATCH((SUM(AR12:AR1007)),$A$3:$A$45,1)+1),INDEX($A$3:$A$45,MATCH((SUM(AR12:AR1007)),$A$3:$A$45,1)):INDEX($A$3:$A$45,MATCH((SUM(AR12:AR1007)),$A$3:$A$45,1)+1))</f>
        <v>#N/A</v>
      </c>
      <c r="AT12" s="97" t="e">
        <f t="shared" si="20"/>
        <v>#N/A</v>
      </c>
      <c r="AU12" s="61">
        <f>SUM('FU Distribution'!AW74:$AW$109)+IF('FU Distribution'!$D$112=8,'FU Distribution'!$D$114,0)</f>
        <v>0</v>
      </c>
      <c r="AV12" s="98" t="e">
        <f>FORECAST(AU12,INDEX($B$3:$B$45,MATCH(AU12,$A$3:$A$45,1)):INDEX($B$3:$B$45,MATCH(AU12,$A$3:$A$45,1)+1),INDEX($A$3:$A$45,MATCH(AU12,$A$3:$A$45,1)):INDEX($A$3:$A$45,MATCH(AU12,$A$3:$A$45,1)+1))</f>
        <v>#N/A</v>
      </c>
      <c r="AW12" s="97" t="e">
        <f t="shared" ref="AW12:AW15" si="29">IF(AND(AV12&lt;=750,AV12&gt;250),6,IF(AND(AV12&lt;=250,AV12&gt;120),4,IF(AND(AV12&lt;=120,AV12&gt;75),3,IF(AND(AV12&lt;=75,AV12&gt;40),2.5,IF(AND(AV12&lt;=40,AV12&gt;20),2,IF(AND(AV12&lt;=20,AV12&gt;14),1.5,IF(AND(AV12&lt;=14,AV12&gt;7),1.25,IF(AND(AV12&lt;=7,AV12&gt;3.5),1,IF(AND(AV12&lt;=3.5,AV12&gt;1.7),0.75,IF(AND(AV12&lt;=1.7,AV12&gt;0),0.5))))))))))</f>
        <v>#N/A</v>
      </c>
      <c r="AX12" s="61">
        <f>SUM('FU Distribution'!AX74:$AX$109)</f>
        <v>0</v>
      </c>
      <c r="AY12" s="98" t="e">
        <f>FORECAST(AX12,INDEX($B$3:$B$45,MATCH(AX12,$A$3:$A$45,1)):INDEX($B$3:$B$45,MATCH(AX12,$A$3:$A$45,1)+1),INDEX($A$3:$A$45,MATCH(AX12,$A$3:$A$45,1)):INDEX($A$3:$A$45,MATCH(AX12,$A$3:$A$45,1)+1))</f>
        <v>#N/A</v>
      </c>
      <c r="AZ12" s="97" t="e">
        <f t="shared" si="22"/>
        <v>#N/A</v>
      </c>
      <c r="BA12" s="75">
        <f>SUM('FU Distribution'!AZ74:$AZ$109)+IF('FU Distribution'!$D$112=9,'FU Distribution'!$D$114,0)</f>
        <v>0</v>
      </c>
      <c r="BB12" s="76" t="e">
        <f>FORECAST((SUM(BA12:BA1007)),INDEX($B$3:$B$45,MATCH((SUM(BA12:BA1007)),$A$3:$A$45,1)):INDEX($B$3:$B$45,MATCH((SUM(BA12:BA1007)),$A$3:$A$45,1)+1),INDEX($A$3:$A$45,MATCH((SUM(BA12:BA1007)),$A$3:$A$45,1)):INDEX($A$3:$A$45,MATCH((SUM(BA12:BA1007)),$A$3:$A$45,1)+1))</f>
        <v>#N/A</v>
      </c>
      <c r="BC12" s="77" t="e">
        <f t="shared" si="3"/>
        <v>#N/A</v>
      </c>
      <c r="BD12" s="75">
        <f>SUM('FU Distribution'!BA74:$BA$109)</f>
        <v>0</v>
      </c>
      <c r="BE12" s="76" t="e">
        <f>FORECAST((SUM(BD12:BD1007)),INDEX($B$3:$B$45,MATCH((SUM(BD12:BD1007)),$A$3:$A$45,1)):INDEX($B$3:$B$45,MATCH((SUM(BD12:BD1007)),$A$3:$A$45,1)+1),INDEX($A$3:$A$45,MATCH((SUM(BD12:BD1007)),$A$3:$A$45,1)):INDEX($A$3:$A$45,MATCH((SUM(BD12:BD1007)),$A$3:$A$45,1)+1))</f>
        <v>#N/A</v>
      </c>
      <c r="BF12" s="77" t="e">
        <f t="shared" si="4"/>
        <v>#N/A</v>
      </c>
      <c r="BG12" s="61">
        <f>SUM('FU Distribution'!BC74:$BC$109)+IF('FU Distribution'!$D$112=10,'FU Distribution'!$D$114,0)</f>
        <v>0</v>
      </c>
      <c r="BH12" s="62" t="e">
        <f>FORECAST((SUM(BG12:BG1007)),INDEX($B$3:$B$45,MATCH((SUM(BG12:BG1007)),$A$3:$A$45,1)):INDEX($B$3:$B$45,MATCH((SUM(BG12:BG1007)),$A$3:$A$45,1)+1),INDEX($A$3:$A$45,MATCH((SUM(BG12:BG1007)),$A$3:$A$45,1)):INDEX($A$3:$A$45,MATCH((SUM(BG12:BG1007)),$A$3:$A$45,1)+1))</f>
        <v>#N/A</v>
      </c>
      <c r="BI12" s="74" t="e">
        <f t="shared" si="5"/>
        <v>#N/A</v>
      </c>
      <c r="BJ12" s="61">
        <f>SUM('FU Distribution'!BD74:$BD$109)</f>
        <v>0</v>
      </c>
      <c r="BK12" s="62" t="e">
        <f>FORECAST((SUM(BJ12:BJ1007)),INDEX($B$3:$B$45,MATCH((SUM(BJ12:BJ1007)),$A$3:$A$45,1)):INDEX($B$3:$B$45,MATCH((SUM(BJ12:BJ1007)),$A$3:$A$45,1)+1),INDEX($A$3:$A$45,MATCH((SUM(BJ12:BJ1007)),$A$3:$A$45,1)):INDEX($A$3:$A$45,MATCH((SUM(BJ12:BJ1007)),$A$3:$A$45,1)+1))</f>
        <v>#N/A</v>
      </c>
      <c r="BL12" s="74" t="e">
        <f t="shared" si="6"/>
        <v>#N/A</v>
      </c>
      <c r="BM12" s="75">
        <f>SUM('FU Distribution'!BF74:$BF$109)+IF('FU Distribution'!$D$112=11,'FU Distribution'!$D$114,0)</f>
        <v>0</v>
      </c>
      <c r="BN12" s="76" t="e">
        <f>FORECAST((SUM(BM12:BM1007)),INDEX($B$3:$B$45,MATCH((SUM(BM12:BM1007)),$A$3:$A$45,1)):INDEX($B$3:$B$45,MATCH((SUM(BM12:BM1007)),$A$3:$A$45,1)+1),INDEX($A$3:$A$45,MATCH((SUM(BM12:BM1007)),$A$3:$A$45,1)):INDEX($A$3:$A$45,MATCH((SUM(BM12:BM1007)),$A$3:$A$45,1)+1))</f>
        <v>#N/A</v>
      </c>
      <c r="BO12" s="77" t="e">
        <f t="shared" si="7"/>
        <v>#N/A</v>
      </c>
      <c r="BP12" s="75">
        <f>SUM('FU Distribution'!BG74:$BG$109)</f>
        <v>0</v>
      </c>
      <c r="BQ12" s="76" t="e">
        <f>FORECAST((SUM(BP12:BP1007)),INDEX($B$3:$B$45,MATCH((SUM(BP12:BP1007)),$A$3:$A$45,1)):INDEX($B$3:$B$45,MATCH((SUM(BP12:BP1007)),$A$3:$A$45,1)+1),INDEX($A$3:$A$45,MATCH((SUM(BP12:BP1007)),$A$3:$A$45,1)):INDEX($A$3:$A$45,MATCH((SUM(BP12:BP1007)),$A$3:$A$45,1)+1))</f>
        <v>#N/A</v>
      </c>
      <c r="BR12" s="77" t="e">
        <f t="shared" si="8"/>
        <v>#N/A</v>
      </c>
      <c r="BS12" s="61">
        <f>SUM('FU Distribution'!BI74:$BI$109)+IF('FU Distribution'!$D$112=12,'FU Distribution'!$D$114,0)</f>
        <v>0</v>
      </c>
      <c r="BT12" s="62" t="e">
        <f>FORECAST(BS12,INDEX($B$3:$B$45,MATCH(BS12,$A$3:$A$45,1)):INDEX($B$3:$B$45,MATCH(BS12,$A$3:$A$45,1)+1),INDEX($A$3:$A$45,MATCH(BS12,$A$3:$A$45,1)):INDEX($A$3:$A$45,MATCH(BS12,$A$3:$A$45,1)+1))</f>
        <v>#N/A</v>
      </c>
      <c r="BU12" s="74" t="e">
        <f t="shared" si="9"/>
        <v>#N/A</v>
      </c>
      <c r="BV12" s="61">
        <f>SUM('FU Distribution'!BJ74:$BJ$109)</f>
        <v>0</v>
      </c>
      <c r="BW12" s="62" t="e">
        <f>FORECAST(BV12,INDEX($B$3:$B$45,MATCH(BV12,$A$3:$A$45,1)):INDEX($B$3:$B$45,MATCH(BV12,$A$3:$A$45,1)+1),INDEX($A$3:$A$45,MATCH(BV12,$A$3:$A$45,1)):INDEX($A$3:$A$45,MATCH(BV12,$A$3:$A$45,1)+1))</f>
        <v>#N/A</v>
      </c>
      <c r="BX12" s="74" t="e">
        <f t="shared" si="10"/>
        <v>#N/A</v>
      </c>
      <c r="BY12" s="75">
        <f>SUM('FU Distribution'!BL74:$BL$109)+IF('FU Distribution'!$D$112=13,'FU Distribution'!$D$114,0)</f>
        <v>0</v>
      </c>
      <c r="BZ12" s="76" t="e">
        <f>FORECAST(BY12,INDEX($B$3:$B$45,MATCH(BY12,$A$3:$A$45,1)):INDEX($B$3:$B$45,MATCH(BY12,$A$3:$A$45,1)+1),INDEX($A$3:$A$45,MATCH(BY12,$A$3:$A$45,1)):INDEX($A$3:$A$45,MATCH(BY12,$A$3:$A$45,1)+1))</f>
        <v>#N/A</v>
      </c>
      <c r="CA12" s="77" t="e">
        <f t="shared" si="11"/>
        <v>#N/A</v>
      </c>
      <c r="CB12" s="75">
        <f>SUM('FU Distribution'!BM74:$BM$109)</f>
        <v>0</v>
      </c>
      <c r="CC12" s="76" t="e">
        <f>FORECAST(CB12,INDEX($B$3:$B$45,MATCH(CB12,$A$3:$A$45,1)):INDEX($B$3:$B$45,MATCH(CB12,$A$3:$A$45,1)+1),INDEX($A$3:$A$45,MATCH(CB12,$A$3:$A$45,1)):INDEX($A$3:$A$45,MATCH(CB12,$A$3:$A$45,1)+1))</f>
        <v>#N/A</v>
      </c>
      <c r="CD12" s="77" t="e">
        <f t="shared" si="12"/>
        <v>#N/A</v>
      </c>
      <c r="CE12" s="61">
        <f>SUM('FU Distribution'!BO74:$BO$109)+IF('FU Distribution'!$D$112=13,'FU Distribution'!$D$114,0)</f>
        <v>0</v>
      </c>
      <c r="CF12" s="62" t="e">
        <f>FORECAST(CE12,INDEX($B$3:$B$45,MATCH(CE12,$A$3:$A$45,1)):INDEX($B$3:$B$45,MATCH(CE12,$A$3:$A$45,1)+1),INDEX($A$3:$A$45,MATCH(CE12,$A$3:$A$45,1)):INDEX($A$3:$A$45,MATCH(CE12,$A$3:$A$45,1)+1))</f>
        <v>#N/A</v>
      </c>
      <c r="CG12" s="74" t="e">
        <f t="shared" si="13"/>
        <v>#N/A</v>
      </c>
      <c r="CH12" s="61">
        <f>SUM('FU Distribution'!BP74:$BP$109)</f>
        <v>0</v>
      </c>
      <c r="CI12" s="62" t="e">
        <f>FORECAST(CH12,INDEX($B$3:$B$45,MATCH(CH12,$A$3:$A$45,1)):INDEX($B$3:$B$45,MATCH(CH12,$A$3:$A$45,1)+1),INDEX($A$3:$A$45,MATCH(CH12,$A$3:$A$45,1)):INDEX($A$3:$A$45,MATCH(CH12,$A$3:$A$45,1)+1))</f>
        <v>#N/A</v>
      </c>
      <c r="CJ12" s="74" t="e">
        <f t="shared" si="14"/>
        <v>#N/A</v>
      </c>
    </row>
    <row r="13" spans="1:88" x14ac:dyDescent="0.25">
      <c r="A13" s="2">
        <v>90</v>
      </c>
      <c r="B13" s="2">
        <v>42</v>
      </c>
      <c r="C13" s="63"/>
      <c r="D13" s="52">
        <v>9</v>
      </c>
      <c r="E13" s="61">
        <f>SUM('FU Distribution'!AB75:$AB$109)+IF('FU Distribution'!$D$112=1,'FU Distribution'!$D$114,0)</f>
        <v>0</v>
      </c>
      <c r="F13" s="98" t="e">
        <f>FORECAST((SUM(E13:E1007)),INDEX($B$3:$B$45,MATCH((SUM(E13:E1007)),$A$3:$A$45,1)):INDEX($B$3:$B$45,MATCH((SUM(E13:E1007)),$A$3:$A$45,1)+1),INDEX($A$3:$A$45,MATCH((SUM(E13:E1007)),$A$3:$A$45,1)):INDEX($A$3:$A$45,MATCH((SUM(E13:E1007)),$A$3:$A$45,1)+1))</f>
        <v>#N/A</v>
      </c>
      <c r="G13" s="99" t="e">
        <f t="shared" si="15"/>
        <v>#N/A</v>
      </c>
      <c r="H13" s="61">
        <f>SUM('FU Distribution'!AC75:$AC$109)</f>
        <v>0</v>
      </c>
      <c r="I13" s="98" t="e">
        <f>FORECAST((SUM(H13:H1008)),INDEX($B$3:$B$45,MATCH((SUM(H13:H1008)),$A$3:$A$45,1)):INDEX($B$3:$B$45,MATCH((SUM(H13:H1008)),$A$3:$A$45,1)+1),INDEX($A$3:$A$45,MATCH((SUM(H13:H1008)),$A$3:$A$45,1)):INDEX($A$3:$A$45,MATCH((SUM(H13:H1008)),$A$3:$A$45,1)+1))</f>
        <v>#N/A</v>
      </c>
      <c r="J13" s="99" t="e">
        <f t="shared" si="23"/>
        <v>#N/A</v>
      </c>
      <c r="K13" s="75">
        <f>SUM('FU Distribution'!AE75:$AE$109)+IF('FU Distribution'!$D$112=2,'FU Distribution'!$D$114,0)</f>
        <v>0</v>
      </c>
      <c r="L13" s="100" t="e">
        <f>FORECAST((SUM(K13:K1008)),INDEX($B$3:$B$45,MATCH((SUM(K13:K1008)),$A$3:$A$45,1)):INDEX($B$3:$B$45,MATCH((SUM(K13:K1008)),$A$3:$A$45,1)+1),INDEX($A$3:$A$45,MATCH((SUM(K13:K1008)),$A$3:$A$45,1)):INDEX($A$3:$A$45,MATCH((SUM(K13:K1008)),$A$3:$A$45,1)+1))</f>
        <v>#N/A</v>
      </c>
      <c r="M13" s="101" t="e">
        <f t="shared" si="24"/>
        <v>#N/A</v>
      </c>
      <c r="N13" s="75">
        <f>SUM('FU Distribution'!AF75:$AF$109)</f>
        <v>0</v>
      </c>
      <c r="O13" s="100" t="e">
        <f>FORECAST((SUM(N13:N1008)),INDEX($B$3:$B$45,MATCH((SUM(N13:N1008)),$A$3:$A$45,1)):INDEX($B$3:$B$45,MATCH((SUM(N13:N1008)),$A$3:$A$45,1)+1),INDEX($A$3:$A$45,MATCH((SUM(N13:N1008)),$A$3:$A$45,1)):INDEX($A$3:$A$45,MATCH((SUM(N13:N1008)),$A$3:$A$45,1)+1))</f>
        <v>#N/A</v>
      </c>
      <c r="P13" s="101" t="e">
        <f t="shared" si="16"/>
        <v>#N/A</v>
      </c>
      <c r="Q13" s="61">
        <f>SUM('FU Distribution'!AH75:$AH$109)+IF('FU Distribution'!$D$112=3,'FU Distribution'!$D$114,0)</f>
        <v>0</v>
      </c>
      <c r="R13" s="98" t="e">
        <f>FORECAST((SUM(Q13:Q1008)),INDEX($B$3:$B$45,MATCH((SUM(Q13:Q1008)),$A$3:$A$45,1)):INDEX($B$3:$B$45,MATCH((SUM(Q13:Q1008)),$A$3:$A$45,1)+1),INDEX($A$3:$A$45,MATCH((SUM(Q13:Q1008)),$A$3:$A$45,1)):INDEX($A$3:$A$45,MATCH((SUM(Q13:Q1008)),$A$3:$A$45,1)+1))</f>
        <v>#N/A</v>
      </c>
      <c r="S13" s="99" t="e">
        <f t="shared" si="25"/>
        <v>#N/A</v>
      </c>
      <c r="T13" s="61">
        <f>SUM('FU Distribution'!AI75:$AI$109)</f>
        <v>0</v>
      </c>
      <c r="U13" s="98" t="e">
        <f>FORECAST((SUM(T13:T1008)),INDEX($B$3:$B$45,MATCH((SUM(T13:T1008)),$A$3:$A$45,1)):INDEX($B$3:$B$45,MATCH((SUM(T13:T1008)),$A$3:$A$45,1)+1),INDEX($A$3:$A$45,MATCH((SUM(T13:T1008)),$A$3:$A$45,1)):INDEX($A$3:$A$45,MATCH((SUM(T13:T1008)),$A$3:$A$45,1)+1))</f>
        <v>#N/A</v>
      </c>
      <c r="V13" s="99" t="e">
        <f t="shared" si="0"/>
        <v>#N/A</v>
      </c>
      <c r="W13" s="75">
        <f>SUM('FU Distribution'!AK75:$AK$109)+IF('FU Distribution'!$D$112=4,'FU Distribution'!$D$114,0)</f>
        <v>0</v>
      </c>
      <c r="X13" s="100" t="e">
        <f>FORECAST((SUM(W13:W1008)),INDEX($B$3:$B$45,MATCH((SUM(W13:W1008)),$A$3:$A$45,1)):INDEX($B$3:$B$45,MATCH((SUM(W13:W1008)),$A$3:$A$45,1)+1),INDEX($A$3:$A$45,MATCH((SUM(W13:W1008)),$A$3:$A$45,1)):INDEX($A$3:$A$45,MATCH((SUM(W13:W1008)),$A$3:$A$45,1)+1))</f>
        <v>#N/A</v>
      </c>
      <c r="Y13" s="101" t="e">
        <f t="shared" si="1"/>
        <v>#N/A</v>
      </c>
      <c r="Z13" s="75">
        <f>SUM('FU Distribution'!AL75:$AL$109)</f>
        <v>0</v>
      </c>
      <c r="AA13" s="100" t="e">
        <f>FORECAST((SUM(Z13:Z1008)),INDEX($B$3:$B$45,MATCH((SUM(Z13:Z1008)),$A$3:$A$45,1)):INDEX($B$3:$B$45,MATCH((SUM(Z13:Z1008)),$A$3:$A$45,1)+1),INDEX($A$3:$A$45,MATCH((SUM(Z13:Z1008)),$A$3:$A$45,1)):INDEX($A$3:$A$45,MATCH((SUM(Z13:Z1008)),$A$3:$A$45,1)+1))</f>
        <v>#N/A</v>
      </c>
      <c r="AB13" s="101" t="e">
        <f t="shared" si="17"/>
        <v>#N/A</v>
      </c>
      <c r="AC13" s="61">
        <f>SUM('FU Distribution'!AN75:$AN$109)+IF('FU Distribution'!$D$112=5,'FU Distribution'!$D$114,0)</f>
        <v>0</v>
      </c>
      <c r="AD13" s="98" t="e">
        <f>FORECAST((SUM(AC13:AC1008)),INDEX($B$3:$B$45,MATCH((SUM(AC13:AC1008)),$A$3:$A$45,1)):INDEX($B$3:$B$45,MATCH((SUM(AC13:AC1008)),$A$3:$A$45,1)+1),INDEX($A$3:$A$45,MATCH((SUM(AC13:AC1008)),$A$3:$A$45,1)):INDEX($A$3:$A$45,MATCH((SUM(AC13:AC1008)),$A$3:$A$45,1)+1))</f>
        <v>#N/A</v>
      </c>
      <c r="AE13" s="99" t="e">
        <f t="shared" si="26"/>
        <v>#N/A</v>
      </c>
      <c r="AF13" s="61">
        <f>SUM('FU Distribution'!AO75:$AO$109)</f>
        <v>0</v>
      </c>
      <c r="AG13" s="98" t="e">
        <f>FORECAST((SUM(AF13:AF1008)),INDEX($B$3:$B$45,MATCH((SUM(AF13:AF1008)),$A$3:$A$45,1)):INDEX($B$3:$B$45,MATCH((SUM(AF13:AF1008)),$A$3:$A$45,1)+1),INDEX($A$3:$A$45,MATCH((SUM(AF13:AF1008)),$A$3:$A$45,1)):INDEX($A$3:$A$45,MATCH((SUM(AF13:AF1008)),$A$3:$A$45,1)+1))</f>
        <v>#N/A</v>
      </c>
      <c r="AH13" s="99" t="e">
        <f t="shared" si="18"/>
        <v>#N/A</v>
      </c>
      <c r="AI13" s="75">
        <f>SUM('FU Distribution'!AQ75:$AQ$109)+IF('FU Distribution'!$D$112=6,'FU Distribution'!$D$114,0)</f>
        <v>0</v>
      </c>
      <c r="AJ13" s="100" t="e">
        <f>FORECAST((SUM(AI13:AI1008)),INDEX($B$3:$B$45,MATCH((SUM(AI13:AI1008)),$A$3:$A$45,1)):INDEX($B$3:$B$45,MATCH((SUM(AI13:AI1008)),$A$3:$A$45,1)+1),INDEX($A$3:$A$45,MATCH((SUM(AI13:AI1008)),$A$3:$A$45,1)):INDEX($A$3:$A$45,MATCH((SUM(AI13:AI1008)),$A$3:$A$45,1)+1))</f>
        <v>#N/A</v>
      </c>
      <c r="AK13" s="101" t="e">
        <f t="shared" si="27"/>
        <v>#N/A</v>
      </c>
      <c r="AL13" s="75">
        <f>SUM('FU Distribution'!AR75:$AR$109)</f>
        <v>0</v>
      </c>
      <c r="AM13" s="100" t="e">
        <f>FORECAST((SUM(AL13:AL1008)),INDEX($B$3:$B$45,MATCH((SUM(AL13:AL1008)),$A$3:$A$45,1)):INDEX($B$3:$B$45,MATCH((SUM(AL13:AL1008)),$A$3:$A$45,1)+1),INDEX($A$3:$A$45,MATCH((SUM(AL13:AL1008)),$A$3:$A$45,1)):INDEX($A$3:$A$45,MATCH((SUM(AL13:AL1008)),$A$3:$A$45,1)+1))</f>
        <v>#N/A</v>
      </c>
      <c r="AN13" s="101" t="e">
        <f t="shared" si="19"/>
        <v>#N/A</v>
      </c>
      <c r="AO13" s="61">
        <f>SUM('FU Distribution'!AT75:$AT$109)+IF('FU Distribution'!$D$112=7,'FU Distribution'!$D$114,0)</f>
        <v>0</v>
      </c>
      <c r="AP13" s="98" t="e">
        <f>FORECAST((SUM(AO13:AO1008)),INDEX($B$3:$B$45,MATCH((SUM(AO13:AO1008)),$A$3:$A$45,1)):INDEX($B$3:$B$45,MATCH((SUM(AO13:AO1008)),$A$3:$A$45,1)+1),INDEX($A$3:$A$45,MATCH((SUM(AO13:AO1008)),$A$3:$A$45,1)):INDEX($A$3:$A$45,MATCH((SUM(AO13:AO1008)),$A$3:$A$45,1)+1))</f>
        <v>#N/A</v>
      </c>
      <c r="AQ13" s="99" t="e">
        <f t="shared" si="28"/>
        <v>#N/A</v>
      </c>
      <c r="AR13" s="61">
        <f>SUM('FU Distribution'!AU75:$AU$109)</f>
        <v>0</v>
      </c>
      <c r="AS13" s="98" t="e">
        <f>FORECAST((SUM(AR13:AR1008)),INDEX($B$3:$B$45,MATCH((SUM(AR13:AR1008)),$A$3:$A$45,1)):INDEX($B$3:$B$45,MATCH((SUM(AR13:AR1008)),$A$3:$A$45,1)+1),INDEX($A$3:$A$45,MATCH((SUM(AR13:AR1008)),$A$3:$A$45,1)):INDEX($A$3:$A$45,MATCH((SUM(AR13:AR1008)),$A$3:$A$45,1)+1))</f>
        <v>#N/A</v>
      </c>
      <c r="AT13" s="99" t="e">
        <f t="shared" si="20"/>
        <v>#N/A</v>
      </c>
      <c r="AU13" s="61">
        <f>SUM('FU Distribution'!AW75:$AW$109)+IF('FU Distribution'!$D$112=8,'FU Distribution'!$D$114,0)</f>
        <v>0</v>
      </c>
      <c r="AV13" s="98" t="e">
        <f>FORECAST(AU13,INDEX($B$3:$B$45,MATCH(AU13,$A$3:$A$45,1)):INDEX($B$3:$B$45,MATCH(AU13,$A$3:$A$45,1)+1),INDEX($A$3:$A$45,MATCH(AU13,$A$3:$A$45,1)):INDEX($A$3:$A$45,MATCH(AU13,$A$3:$A$45,1)+1))</f>
        <v>#N/A</v>
      </c>
      <c r="AW13" s="99" t="e">
        <f t="shared" si="29"/>
        <v>#N/A</v>
      </c>
      <c r="AX13" s="61">
        <f>SUM('FU Distribution'!AX75:$AX$109)</f>
        <v>0</v>
      </c>
      <c r="AY13" s="98" t="e">
        <f>FORECAST(AX13,INDEX($B$3:$B$45,MATCH(AX13,$A$3:$A$45,1)):INDEX($B$3:$B$45,MATCH(AX13,$A$3:$A$45,1)+1),INDEX($A$3:$A$45,MATCH(AX13,$A$3:$A$45,1)):INDEX($A$3:$A$45,MATCH(AX13,$A$3:$A$45,1)+1))</f>
        <v>#N/A</v>
      </c>
      <c r="AZ13" s="99" t="e">
        <f t="shared" si="22"/>
        <v>#N/A</v>
      </c>
      <c r="BA13" s="75">
        <f>SUM('FU Distribution'!AZ75:$AZ$109)+IF('FU Distribution'!$D$112=9,'FU Distribution'!$D$114,0)</f>
        <v>0</v>
      </c>
      <c r="BB13" s="76" t="e">
        <f>FORECAST((SUM(BA13:BA1008)),INDEX($B$3:$B$45,MATCH((SUM(BA13:BA1008)),$A$3:$A$45,1)):INDEX($B$3:$B$45,MATCH((SUM(BA13:BA1008)),$A$3:$A$45,1)+1),INDEX($A$3:$A$45,MATCH((SUM(BA13:BA1008)),$A$3:$A$45,1)):INDEX($A$3:$A$45,MATCH((SUM(BA13:BA1008)),$A$3:$A$45,1)+1))</f>
        <v>#N/A</v>
      </c>
      <c r="BC13" s="77" t="e">
        <f t="shared" si="3"/>
        <v>#N/A</v>
      </c>
      <c r="BD13" s="75">
        <f>SUM('FU Distribution'!BA75:$BA$109)</f>
        <v>0</v>
      </c>
      <c r="BE13" s="76" t="e">
        <f>FORECAST((SUM(BD13:BD1008)),INDEX($B$3:$B$45,MATCH((SUM(BD13:BD1008)),$A$3:$A$45,1)):INDEX($B$3:$B$45,MATCH((SUM(BD13:BD1008)),$A$3:$A$45,1)+1),INDEX($A$3:$A$45,MATCH((SUM(BD13:BD1008)),$A$3:$A$45,1)):INDEX($A$3:$A$45,MATCH((SUM(BD13:BD1008)),$A$3:$A$45,1)+1))</f>
        <v>#N/A</v>
      </c>
      <c r="BF13" s="77" t="e">
        <f t="shared" si="4"/>
        <v>#N/A</v>
      </c>
      <c r="BG13" s="61">
        <f>SUM('FU Distribution'!BC75:$BC$109)+IF('FU Distribution'!$D$112=10,'FU Distribution'!$D$114,0)</f>
        <v>0</v>
      </c>
      <c r="BH13" s="62" t="e">
        <f>FORECAST((SUM(BG13:BG1008)),INDEX($B$3:$B$45,MATCH((SUM(BG13:BG1008)),$A$3:$A$45,1)):INDEX($B$3:$B$45,MATCH((SUM(BG13:BG1008)),$A$3:$A$45,1)+1),INDEX($A$3:$A$45,MATCH((SUM(BG13:BG1008)),$A$3:$A$45,1)):INDEX($A$3:$A$45,MATCH((SUM(BG13:BG1008)),$A$3:$A$45,1)+1))</f>
        <v>#N/A</v>
      </c>
      <c r="BI13" s="74" t="e">
        <f t="shared" si="5"/>
        <v>#N/A</v>
      </c>
      <c r="BJ13" s="61">
        <f>SUM('FU Distribution'!BD75:$BD$109)</f>
        <v>0</v>
      </c>
      <c r="BK13" s="62" t="e">
        <f>FORECAST((SUM(BJ13:BJ1008)),INDEX($B$3:$B$45,MATCH((SUM(BJ13:BJ1008)),$A$3:$A$45,1)):INDEX($B$3:$B$45,MATCH((SUM(BJ13:BJ1008)),$A$3:$A$45,1)+1),INDEX($A$3:$A$45,MATCH((SUM(BJ13:BJ1008)),$A$3:$A$45,1)):INDEX($A$3:$A$45,MATCH((SUM(BJ13:BJ1008)),$A$3:$A$45,1)+1))</f>
        <v>#N/A</v>
      </c>
      <c r="BL13" s="74" t="e">
        <f t="shared" si="6"/>
        <v>#N/A</v>
      </c>
      <c r="BM13" s="75">
        <f>SUM('FU Distribution'!BF75:$BF$109)+IF('FU Distribution'!$D$112=11,'FU Distribution'!$D$114,0)</f>
        <v>0</v>
      </c>
      <c r="BN13" s="76" t="e">
        <f>FORECAST((SUM(BM13:BM1008)),INDEX($B$3:$B$45,MATCH((SUM(BM13:BM1008)),$A$3:$A$45,1)):INDEX($B$3:$B$45,MATCH((SUM(BM13:BM1008)),$A$3:$A$45,1)+1),INDEX($A$3:$A$45,MATCH((SUM(BM13:BM1008)),$A$3:$A$45,1)):INDEX($A$3:$A$45,MATCH((SUM(BM13:BM1008)),$A$3:$A$45,1)+1))</f>
        <v>#N/A</v>
      </c>
      <c r="BO13" s="77" t="e">
        <f t="shared" si="7"/>
        <v>#N/A</v>
      </c>
      <c r="BP13" s="75">
        <f>SUM('FU Distribution'!BG75:$BG$109)</f>
        <v>0</v>
      </c>
      <c r="BQ13" s="76" t="e">
        <f>FORECAST((SUM(BP13:BP1008)),INDEX($B$3:$B$45,MATCH((SUM(BP13:BP1008)),$A$3:$A$45,1)):INDEX($B$3:$B$45,MATCH((SUM(BP13:BP1008)),$A$3:$A$45,1)+1),INDEX($A$3:$A$45,MATCH((SUM(BP13:BP1008)),$A$3:$A$45,1)):INDEX($A$3:$A$45,MATCH((SUM(BP13:BP1008)),$A$3:$A$45,1)+1))</f>
        <v>#N/A</v>
      </c>
      <c r="BR13" s="77" t="e">
        <f t="shared" si="8"/>
        <v>#N/A</v>
      </c>
      <c r="BS13" s="61">
        <f>SUM('FU Distribution'!BI75:$BI$109)+IF('FU Distribution'!$D$112=12,'FU Distribution'!$D$114,0)</f>
        <v>0</v>
      </c>
      <c r="BT13" s="62" t="e">
        <f>FORECAST(BS13,INDEX($B$3:$B$45,MATCH(BS13,$A$3:$A$45,1)):INDEX($B$3:$B$45,MATCH(BS13,$A$3:$A$45,1)+1),INDEX($A$3:$A$45,MATCH(BS13,$A$3:$A$45,1)):INDEX($A$3:$A$45,MATCH(BS13,$A$3:$A$45,1)+1))</f>
        <v>#N/A</v>
      </c>
      <c r="BU13" s="74" t="e">
        <f t="shared" si="9"/>
        <v>#N/A</v>
      </c>
      <c r="BV13" s="61">
        <f>SUM('FU Distribution'!BJ75:$BJ$109)</f>
        <v>0</v>
      </c>
      <c r="BW13" s="62" t="e">
        <f>FORECAST(BV13,INDEX($B$3:$B$45,MATCH(BV13,$A$3:$A$45,1)):INDEX($B$3:$B$45,MATCH(BV13,$A$3:$A$45,1)+1),INDEX($A$3:$A$45,MATCH(BV13,$A$3:$A$45,1)):INDEX($A$3:$A$45,MATCH(BV13,$A$3:$A$45,1)+1))</f>
        <v>#N/A</v>
      </c>
      <c r="BX13" s="74" t="e">
        <f t="shared" si="10"/>
        <v>#N/A</v>
      </c>
      <c r="BY13" s="75">
        <f>SUM('FU Distribution'!BL75:$BL$109)+IF('FU Distribution'!$D$112=13,'FU Distribution'!$D$114,0)</f>
        <v>0</v>
      </c>
      <c r="BZ13" s="76" t="e">
        <f>FORECAST(BY13,INDEX($B$3:$B$45,MATCH(BY13,$A$3:$A$45,1)):INDEX($B$3:$B$45,MATCH(BY13,$A$3:$A$45,1)+1),INDEX($A$3:$A$45,MATCH(BY13,$A$3:$A$45,1)):INDEX($A$3:$A$45,MATCH(BY13,$A$3:$A$45,1)+1))</f>
        <v>#N/A</v>
      </c>
      <c r="CA13" s="77" t="e">
        <f t="shared" si="11"/>
        <v>#N/A</v>
      </c>
      <c r="CB13" s="75">
        <f>SUM('FU Distribution'!BM75:$BM$109)</f>
        <v>0</v>
      </c>
      <c r="CC13" s="76" t="e">
        <f>FORECAST(CB13,INDEX($B$3:$B$45,MATCH(CB13,$A$3:$A$45,1)):INDEX($B$3:$B$45,MATCH(CB13,$A$3:$A$45,1)+1),INDEX($A$3:$A$45,MATCH(CB13,$A$3:$A$45,1)):INDEX($A$3:$A$45,MATCH(CB13,$A$3:$A$45,1)+1))</f>
        <v>#N/A</v>
      </c>
      <c r="CD13" s="77" t="e">
        <f t="shared" si="12"/>
        <v>#N/A</v>
      </c>
      <c r="CE13" s="61">
        <f>SUM('FU Distribution'!BO75:$BO$109)+IF('FU Distribution'!$D$112=13,'FU Distribution'!$D$114,0)</f>
        <v>0</v>
      </c>
      <c r="CF13" s="62" t="e">
        <f>FORECAST(CE13,INDEX($B$3:$B$45,MATCH(CE13,$A$3:$A$45,1)):INDEX($B$3:$B$45,MATCH(CE13,$A$3:$A$45,1)+1),INDEX($A$3:$A$45,MATCH(CE13,$A$3:$A$45,1)):INDEX($A$3:$A$45,MATCH(CE13,$A$3:$A$45,1)+1))</f>
        <v>#N/A</v>
      </c>
      <c r="CG13" s="74" t="e">
        <f t="shared" si="13"/>
        <v>#N/A</v>
      </c>
      <c r="CH13" s="61">
        <f>SUM('FU Distribution'!BP75:$BP$109)</f>
        <v>0</v>
      </c>
      <c r="CI13" s="62" t="e">
        <f>FORECAST(CH13,INDEX($B$3:$B$45,MATCH(CH13,$A$3:$A$45,1)):INDEX($B$3:$B$45,MATCH(CH13,$A$3:$A$45,1)+1),INDEX($A$3:$A$45,MATCH(CH13,$A$3:$A$45,1)):INDEX($A$3:$A$45,MATCH(CH13,$A$3:$A$45,1)+1))</f>
        <v>#N/A</v>
      </c>
      <c r="CJ13" s="74" t="e">
        <f t="shared" si="14"/>
        <v>#N/A</v>
      </c>
    </row>
    <row r="14" spans="1:88" x14ac:dyDescent="0.25">
      <c r="A14" s="2">
        <v>100</v>
      </c>
      <c r="B14" s="2">
        <v>45</v>
      </c>
      <c r="C14" s="63"/>
      <c r="D14" s="52">
        <v>10</v>
      </c>
      <c r="E14" s="61">
        <f>SUM('FU Distribution'!AB76:$AB$109)+IF('FU Distribution'!$D$112=1,'FU Distribution'!$D$114,0)</f>
        <v>0</v>
      </c>
      <c r="F14" s="96" t="e">
        <f>FORECAST((SUM(E14:E1009)),INDEX($B$3:$B$45,MATCH((SUM(E14:E1009)),$A$3:$A$45,1)):INDEX($B$3:$B$45,MATCH((SUM(E14:E1009)),$A$3:$A$45,1)+1),INDEX($A$3:$A$45,MATCH((SUM(E14:E1009)),$A$3:$A$45,1)):INDEX($A$3:$A$45,MATCH((SUM(E14:E1009)),$A$3:$A$45,1)+1))</f>
        <v>#N/A</v>
      </c>
      <c r="G14" s="97" t="e">
        <f t="shared" ref="G14:G15" si="30">IF(AND(F14&lt;=750,F14&gt;250),6,IF(AND(F14&lt;=250,F14&gt;120),4,IF(AND(F14&lt;=120,F14&gt;75),3,IF(AND(F14&lt;=75,F14&gt;40),2.5,IF(AND(F14&lt;=40,F14&gt;20),2,IF(AND(F14&lt;=20,F14&gt;14),1.5,IF(AND(F14&lt;=14,F14&gt;7),1.25,IF(AND(F14&lt;=7,F14&gt;3.5),1,IF(AND(F14&lt;=3.5,F14&gt;1.7),0.75,IF(AND(F14&lt;=1.7,F14&gt;0),0.5))))))))))</f>
        <v>#N/A</v>
      </c>
      <c r="H14" s="61">
        <f>SUM('FU Distribution'!AC76:$AC$109)</f>
        <v>0</v>
      </c>
      <c r="I14" s="96" t="e">
        <f>FORECAST((SUM(H14:H1009)),INDEX($B$3:$B$45,MATCH((SUM(H14:H1009)),$A$3:$A$45,1)):INDEX($B$3:$B$45,MATCH((SUM(H14:H1009)),$A$3:$A$45,1)+1),INDEX($A$3:$A$45,MATCH((SUM(H14:H1009)),$A$3:$A$45,1)):INDEX($A$3:$A$45,MATCH((SUM(H14:H1009)),$A$3:$A$45,1)+1))</f>
        <v>#N/A</v>
      </c>
      <c r="J14" s="97" t="e">
        <f t="shared" ref="J14:J15" si="31">IF(AND(I14&lt;=750,I14&gt;250),6,IF(AND(I14&lt;=250,I14&gt;120),4,IF(AND(I14&lt;=120,I14&gt;75),3,IF(AND(I14&lt;=75,I14&gt;40),2.5,IF(AND(I14&lt;=40,I14&gt;20),2,IF(AND(I14&lt;=20,I14&gt;14),1.5,IF(AND(I14&lt;=14,I14&gt;7),1.25,IF(AND(I14&lt;=7,I14&gt;3.5),1,IF(AND(I14&lt;=3.5,I14&gt;1.7),0.75,IF(AND(I14&lt;=1.7,I14&gt;0),0.5))))))))))</f>
        <v>#N/A</v>
      </c>
      <c r="K14" s="75">
        <f>SUM('FU Distribution'!AE76:$AE$109)+IF('FU Distribution'!$D$112=2,'FU Distribution'!$D$114,0)</f>
        <v>0</v>
      </c>
      <c r="L14" s="96" t="e">
        <f>FORECAST((SUM(K14:K1009)),INDEX($B$3:$B$45,MATCH((SUM(K14:K1009)),$A$3:$A$45,1)):INDEX($B$3:$B$45,MATCH((SUM(K14:K1009)),$A$3:$A$45,1)+1),INDEX($A$3:$A$45,MATCH((SUM(K14:K1009)),$A$3:$A$45,1)):INDEX($A$3:$A$45,MATCH((SUM(K14:K1009)),$A$3:$A$45,1)+1))</f>
        <v>#N/A</v>
      </c>
      <c r="M14" s="97" t="e">
        <f t="shared" si="24"/>
        <v>#N/A</v>
      </c>
      <c r="N14" s="75">
        <f>SUM('FU Distribution'!AF76:$AF$109)</f>
        <v>0</v>
      </c>
      <c r="O14" s="96" t="e">
        <f>FORECAST((SUM(N14:N1009)),INDEX($B$3:$B$45,MATCH((SUM(N14:N1009)),$A$3:$A$45,1)):INDEX($B$3:$B$45,MATCH((SUM(N14:N1009)),$A$3:$A$45,1)+1),INDEX($A$3:$A$45,MATCH((SUM(N14:N1009)),$A$3:$A$45,1)):INDEX($A$3:$A$45,MATCH((SUM(N14:N1009)),$A$3:$A$45,1)+1))</f>
        <v>#N/A</v>
      </c>
      <c r="P14" s="97" t="e">
        <f t="shared" ref="P14:P15" si="32">IF(AND(O14&lt;=750,O14&gt;250),6,IF(AND(O14&lt;=250,O14&gt;120),4,IF(AND(O14&lt;=120,O14&gt;75),3,IF(AND(O14&lt;=75,O14&gt;40),2.5,IF(AND(O14&lt;=40,O14&gt;20),2,IF(AND(O14&lt;=20,O14&gt;14),1.5,IF(AND(O14&lt;=14,O14&gt;7),1.25,IF(AND(O14&lt;=7,O14&gt;3.5),1,IF(AND(O14&lt;=3.5,O14&gt;1.7),0.75,IF(AND(O14&lt;=1.7,O14&gt;0),0.5))))))))))</f>
        <v>#N/A</v>
      </c>
      <c r="Q14" s="61">
        <f>SUM('FU Distribution'!AH76:$AH$109)+IF('FU Distribution'!$D$112=3,'FU Distribution'!$D$114,0)</f>
        <v>0</v>
      </c>
      <c r="R14" s="96" t="e">
        <f>FORECAST((SUM(Q14:Q1009)),INDEX($B$3:$B$45,MATCH((SUM(Q14:Q1009)),$A$3:$A$45,1)):INDEX($B$3:$B$45,MATCH((SUM(Q14:Q1009)),$A$3:$A$45,1)+1),INDEX($A$3:$A$45,MATCH((SUM(Q14:Q1009)),$A$3:$A$45,1)):INDEX($A$3:$A$45,MATCH((SUM(Q14:Q1009)),$A$3:$A$45,1)+1))</f>
        <v>#N/A</v>
      </c>
      <c r="S14" s="97" t="e">
        <f t="shared" si="25"/>
        <v>#N/A</v>
      </c>
      <c r="T14" s="61">
        <f>SUM('FU Distribution'!AI76:$AI$109)</f>
        <v>0</v>
      </c>
      <c r="U14" s="96" t="e">
        <f>FORECAST((SUM(T14:T1009)),INDEX($B$3:$B$45,MATCH((SUM(T14:T1009)),$A$3:$A$45,1)):INDEX($B$3:$B$45,MATCH((SUM(T14:T1009)),$A$3:$A$45,1)+1),INDEX($A$3:$A$45,MATCH((SUM(T14:T1009)),$A$3:$A$45,1)):INDEX($A$3:$A$45,MATCH((SUM(T14:T1009)),$A$3:$A$45,1)+1))</f>
        <v>#N/A</v>
      </c>
      <c r="V14" s="97" t="e">
        <f t="shared" si="0"/>
        <v>#N/A</v>
      </c>
      <c r="W14" s="75">
        <f>SUM('FU Distribution'!AK76:$AK$109)+IF('FU Distribution'!$D$112=4,'FU Distribution'!$D$114,0)</f>
        <v>0</v>
      </c>
      <c r="X14" s="96" t="e">
        <f>FORECAST((SUM(W14:W1009)),INDEX($B$3:$B$45,MATCH((SUM(W14:W1009)),$A$3:$A$45,1)):INDEX($B$3:$B$45,MATCH((SUM(W14:W1009)),$A$3:$A$45,1)+1),INDEX($A$3:$A$45,MATCH((SUM(W14:W1009)),$A$3:$A$45,1)):INDEX($A$3:$A$45,MATCH((SUM(W14:W1009)),$A$3:$A$45,1)+1))</f>
        <v>#N/A</v>
      </c>
      <c r="Y14" s="97" t="e">
        <f t="shared" si="1"/>
        <v>#N/A</v>
      </c>
      <c r="Z14" s="75">
        <f>SUM('FU Distribution'!AL76:$AL$109)</f>
        <v>0</v>
      </c>
      <c r="AA14" s="96" t="e">
        <f>FORECAST((SUM(Z14:Z1009)),INDEX($B$3:$B$45,MATCH((SUM(Z14:Z1009)),$A$3:$A$45,1)):INDEX($B$3:$B$45,MATCH((SUM(Z14:Z1009)),$A$3:$A$45,1)+1),INDEX($A$3:$A$45,MATCH((SUM(Z14:Z1009)),$A$3:$A$45,1)):INDEX($A$3:$A$45,MATCH((SUM(Z14:Z1009)),$A$3:$A$45,1)+1))</f>
        <v>#N/A</v>
      </c>
      <c r="AB14" s="97" t="e">
        <f t="shared" ref="AB14:AB15" si="33">IF(AND(AA14&lt;=750,AA14&gt;250),6,IF(AND(AA14&lt;=250,AA14&gt;120),4,IF(AND(AA14&lt;=120,AA14&gt;75),3,IF(AND(AA14&lt;=75,AA14&gt;40),2.5,IF(AND(AA14&lt;=40,AA14&gt;20),2,IF(AND(AA14&lt;=20,AA14&gt;14),1.5,IF(AND(AA14&lt;=14,AA14&gt;7),1.25,IF(AND(AA14&lt;=7,AA14&gt;3.5),1,IF(AND(AA14&lt;=3.5,AA14&gt;1.7),0.75,IF(AND(AA14&lt;=1.7,AA14&gt;0),0.5))))))))))</f>
        <v>#N/A</v>
      </c>
      <c r="AC14" s="61">
        <f>SUM('FU Distribution'!AN76:$AN$109)+IF('FU Distribution'!$D$112=5,'FU Distribution'!$D$114,0)</f>
        <v>0</v>
      </c>
      <c r="AD14" s="96" t="e">
        <f>FORECAST((SUM(AC14:AC1009)),INDEX($B$3:$B$45,MATCH((SUM(AC14:AC1009)),$A$3:$A$45,1)):INDEX($B$3:$B$45,MATCH((SUM(AC14:AC1009)),$A$3:$A$45,1)+1),INDEX($A$3:$A$45,MATCH((SUM(AC14:AC1009)),$A$3:$A$45,1)):INDEX($A$3:$A$45,MATCH((SUM(AC14:AC1009)),$A$3:$A$45,1)+1))</f>
        <v>#N/A</v>
      </c>
      <c r="AE14" s="97" t="e">
        <f t="shared" si="26"/>
        <v>#N/A</v>
      </c>
      <c r="AF14" s="61">
        <f>SUM('FU Distribution'!AO76:$AO$109)</f>
        <v>0</v>
      </c>
      <c r="AG14" s="96" t="e">
        <f>FORECAST((SUM(AF14:AF1009)),INDEX($B$3:$B$45,MATCH((SUM(AF14:AF1009)),$A$3:$A$45,1)):INDEX($B$3:$B$45,MATCH((SUM(AF14:AF1009)),$A$3:$A$45,1)+1),INDEX($A$3:$A$45,MATCH((SUM(AF14:AF1009)),$A$3:$A$45,1)):INDEX($A$3:$A$45,MATCH((SUM(AF14:AF1009)),$A$3:$A$45,1)+1))</f>
        <v>#N/A</v>
      </c>
      <c r="AH14" s="97" t="e">
        <f t="shared" ref="AH14:AH15" si="34">IF(AND(AG14&lt;=750,AG14&gt;250),6,IF(AND(AG14&lt;=250,AG14&gt;120),4,IF(AND(AG14&lt;=120,AG14&gt;75),3,IF(AND(AG14&lt;=75,AG14&gt;40),2.5,IF(AND(AG14&lt;=40,AG14&gt;20),2,IF(AND(AG14&lt;=20,AG14&gt;14),1.5,IF(AND(AG14&lt;=14,AG14&gt;7),1.25,IF(AND(AG14&lt;=7,AG14&gt;3.5),1,IF(AND(AG14&lt;=3.5,AG14&gt;1.7),0.75,IF(AND(AG14&lt;=1.7,AG14&gt;0),0.5))))))))))</f>
        <v>#N/A</v>
      </c>
      <c r="AI14" s="75">
        <f>SUM('FU Distribution'!AQ76:$AQ$109)+IF('FU Distribution'!$D$112=6,'FU Distribution'!$D$114,0)</f>
        <v>0</v>
      </c>
      <c r="AJ14" s="96" t="e">
        <f>FORECAST((SUM(AI14:AI1009)),INDEX($B$3:$B$45,MATCH((SUM(AI14:AI1009)),$A$3:$A$45,1)):INDEX($B$3:$B$45,MATCH((SUM(AI14:AI1009)),$A$3:$A$45,1)+1),INDEX($A$3:$A$45,MATCH((SUM(AI14:AI1009)),$A$3:$A$45,1)):INDEX($A$3:$A$45,MATCH((SUM(AI14:AI1009)),$A$3:$A$45,1)+1))</f>
        <v>#N/A</v>
      </c>
      <c r="AK14" s="97" t="e">
        <f t="shared" si="27"/>
        <v>#N/A</v>
      </c>
      <c r="AL14" s="75">
        <f>SUM('FU Distribution'!AR76:$AR$109)</f>
        <v>0</v>
      </c>
      <c r="AM14" s="96" t="e">
        <f>FORECAST((SUM(AL14:AL1009)),INDEX($B$3:$B$45,MATCH((SUM(AL14:AL1009)),$A$3:$A$45,1)):INDEX($B$3:$B$45,MATCH((SUM(AL14:AL1009)),$A$3:$A$45,1)+1),INDEX($A$3:$A$45,MATCH((SUM(AL14:AL1009)),$A$3:$A$45,1)):INDEX($A$3:$A$45,MATCH((SUM(AL14:AL1009)),$A$3:$A$45,1)+1))</f>
        <v>#N/A</v>
      </c>
      <c r="AN14" s="97" t="e">
        <f t="shared" ref="AN14:AN15" si="35">IF(AND(AM14&lt;=750,AM14&gt;250),6,IF(AND(AM14&lt;=250,AM14&gt;120),4,IF(AND(AM14&lt;=120,AM14&gt;75),3,IF(AND(AM14&lt;=75,AM14&gt;40),2.5,IF(AND(AM14&lt;=40,AM14&gt;20),2,IF(AND(AM14&lt;=20,AM14&gt;14),1.5,IF(AND(AM14&lt;=14,AM14&gt;7),1.25,IF(AND(AM14&lt;=7,AM14&gt;3.5),1,IF(AND(AM14&lt;=3.5,AM14&gt;1.7),0.75,IF(AND(AM14&lt;=1.7,AM14&gt;0),0.5))))))))))</f>
        <v>#N/A</v>
      </c>
      <c r="AO14" s="61">
        <f>SUM('FU Distribution'!AT76:$AT$109)+IF('FU Distribution'!$D$112=7,'FU Distribution'!$D$114,0)</f>
        <v>0</v>
      </c>
      <c r="AP14" s="96" t="e">
        <f>FORECAST((SUM(AO14:AO1009)),INDEX($B$3:$B$45,MATCH((SUM(AO14:AO1009)),$A$3:$A$45,1)):INDEX($B$3:$B$45,MATCH((SUM(AO14:AO1009)),$A$3:$A$45,1)+1),INDEX($A$3:$A$45,MATCH((SUM(AO14:AO1009)),$A$3:$A$45,1)):INDEX($A$3:$A$45,MATCH((SUM(AO14:AO1009)),$A$3:$A$45,1)+1))</f>
        <v>#N/A</v>
      </c>
      <c r="AQ14" s="97" t="e">
        <f t="shared" si="28"/>
        <v>#N/A</v>
      </c>
      <c r="AR14" s="61">
        <f>SUM('FU Distribution'!AU76:$AU$109)</f>
        <v>0</v>
      </c>
      <c r="AS14" s="96" t="e">
        <f>FORECAST((SUM(AR14:AR1009)),INDEX($B$3:$B$45,MATCH((SUM(AR14:AR1009)),$A$3:$A$45,1)):INDEX($B$3:$B$45,MATCH((SUM(AR14:AR1009)),$A$3:$A$45,1)+1),INDEX($A$3:$A$45,MATCH((SUM(AR14:AR1009)),$A$3:$A$45,1)):INDEX($A$3:$A$45,MATCH((SUM(AR14:AR1009)),$A$3:$A$45,1)+1))</f>
        <v>#N/A</v>
      </c>
      <c r="AT14" s="97" t="e">
        <f t="shared" ref="AT14:AT15" si="36">IF(AND(AS14&lt;=750,AS14&gt;250),6,IF(AND(AS14&lt;=250,AS14&gt;120),4,IF(AND(AS14&lt;=120,AS14&gt;75),3,IF(AND(AS14&lt;=75,AS14&gt;40),2.5,IF(AND(AS14&lt;=40,AS14&gt;20),2,IF(AND(AS14&lt;=20,AS14&gt;14),1.5,IF(AND(AS14&lt;=14,AS14&gt;7),1.25,IF(AND(AS14&lt;=7,AS14&gt;3.5),1,IF(AND(AS14&lt;=3.5,AS14&gt;1.7),0.75,IF(AND(AS14&lt;=1.7,AS14&gt;0),0.5))))))))))</f>
        <v>#N/A</v>
      </c>
      <c r="AU14" s="61">
        <f>SUM('FU Distribution'!AW76:$AW$109)+IF('FU Distribution'!$D$112=8,'FU Distribution'!$D$114,0)</f>
        <v>0</v>
      </c>
      <c r="AV14" s="98" t="e">
        <f>FORECAST(AU14,INDEX($B$3:$B$45,MATCH(AU14,$A$3:$A$45,1)):INDEX($B$3:$B$45,MATCH(AU14,$A$3:$A$45,1)+1),INDEX($A$3:$A$45,MATCH(AU14,$A$3:$A$45,1)):INDEX($A$3:$A$45,MATCH(AU14,$A$3:$A$45,1)+1))</f>
        <v>#N/A</v>
      </c>
      <c r="AW14" s="97" t="e">
        <f t="shared" si="29"/>
        <v>#N/A</v>
      </c>
      <c r="AX14" s="61">
        <f>SUM('FU Distribution'!AX76:$AX$109)</f>
        <v>0</v>
      </c>
      <c r="AY14" s="98" t="e">
        <f>FORECAST(AX14,INDEX($B$3:$B$45,MATCH(AX14,$A$3:$A$45,1)):INDEX($B$3:$B$45,MATCH(AX14,$A$3:$A$45,1)+1),INDEX($A$3:$A$45,MATCH(AX14,$A$3:$A$45,1)):INDEX($A$3:$A$45,MATCH(AX14,$A$3:$A$45,1)+1))</f>
        <v>#N/A</v>
      </c>
      <c r="AZ14" s="97" t="e">
        <f t="shared" si="22"/>
        <v>#N/A</v>
      </c>
      <c r="BA14" s="75">
        <f>SUM('FU Distribution'!AZ76:$AZ$109)+IF('FU Distribution'!$D$112=9,'FU Distribution'!$D$114,0)</f>
        <v>0</v>
      </c>
      <c r="BB14" s="76" t="e">
        <f>FORECAST((SUM(BA14:BA1009)),INDEX($B$3:$B$45,MATCH((SUM(BA14:BA1009)),$A$3:$A$45,1)):INDEX($B$3:$B$45,MATCH((SUM(BA14:BA1009)),$A$3:$A$45,1)+1),INDEX($A$3:$A$45,MATCH((SUM(BA14:BA1009)),$A$3:$A$45,1)):INDEX($A$3:$A$45,MATCH((SUM(BA14:BA1009)),$A$3:$A$45,1)+1))</f>
        <v>#N/A</v>
      </c>
      <c r="BC14" s="77" t="e">
        <f t="shared" si="3"/>
        <v>#N/A</v>
      </c>
      <c r="BD14" s="75">
        <f>SUM('FU Distribution'!BA76:$BA$109)</f>
        <v>0</v>
      </c>
      <c r="BE14" s="76" t="e">
        <f>FORECAST((SUM(BD14:BD1009)),INDEX($B$3:$B$45,MATCH((SUM(BD14:BD1009)),$A$3:$A$45,1)):INDEX($B$3:$B$45,MATCH((SUM(BD14:BD1009)),$A$3:$A$45,1)+1),INDEX($A$3:$A$45,MATCH((SUM(BD14:BD1009)),$A$3:$A$45,1)):INDEX($A$3:$A$45,MATCH((SUM(BD14:BD1009)),$A$3:$A$45,1)+1))</f>
        <v>#N/A</v>
      </c>
      <c r="BF14" s="77" t="e">
        <f t="shared" si="4"/>
        <v>#N/A</v>
      </c>
      <c r="BG14" s="61">
        <f>SUM('FU Distribution'!BC76:$BC$109)+IF('FU Distribution'!$D$112=10,'FU Distribution'!$D$114,0)</f>
        <v>0</v>
      </c>
      <c r="BH14" s="62" t="e">
        <f>FORECAST((SUM(BG14:BG1009)),INDEX($B$3:$B$45,MATCH((SUM(BG14:BG1009)),$A$3:$A$45,1)):INDEX($B$3:$B$45,MATCH((SUM(BG14:BG1009)),$A$3:$A$45,1)+1),INDEX($A$3:$A$45,MATCH((SUM(BG14:BG1009)),$A$3:$A$45,1)):INDEX($A$3:$A$45,MATCH((SUM(BG14:BG1009)),$A$3:$A$45,1)+1))</f>
        <v>#N/A</v>
      </c>
      <c r="BI14" s="74" t="e">
        <f t="shared" si="5"/>
        <v>#N/A</v>
      </c>
      <c r="BJ14" s="61">
        <f>SUM('FU Distribution'!BD76:$BD$109)</f>
        <v>0</v>
      </c>
      <c r="BK14" s="62" t="e">
        <f>FORECAST((SUM(BJ14:BJ1009)),INDEX($B$3:$B$45,MATCH((SUM(BJ14:BJ1009)),$A$3:$A$45,1)):INDEX($B$3:$B$45,MATCH((SUM(BJ14:BJ1009)),$A$3:$A$45,1)+1),INDEX($A$3:$A$45,MATCH((SUM(BJ14:BJ1009)),$A$3:$A$45,1)):INDEX($A$3:$A$45,MATCH((SUM(BJ14:BJ1009)),$A$3:$A$45,1)+1))</f>
        <v>#N/A</v>
      </c>
      <c r="BL14" s="74" t="e">
        <f t="shared" si="6"/>
        <v>#N/A</v>
      </c>
      <c r="BM14" s="75">
        <f>SUM('FU Distribution'!BF76:$BF$109)+IF('FU Distribution'!$D$112=11,'FU Distribution'!$D$114,0)</f>
        <v>0</v>
      </c>
      <c r="BN14" s="76" t="e">
        <f>FORECAST((SUM(BM14:BM1009)),INDEX($B$3:$B$45,MATCH((SUM(BM14:BM1009)),$A$3:$A$45,1)):INDEX($B$3:$B$45,MATCH((SUM(BM14:BM1009)),$A$3:$A$45,1)+1),INDEX($A$3:$A$45,MATCH((SUM(BM14:BM1009)),$A$3:$A$45,1)):INDEX($A$3:$A$45,MATCH((SUM(BM14:BM1009)),$A$3:$A$45,1)+1))</f>
        <v>#N/A</v>
      </c>
      <c r="BO14" s="77" t="e">
        <f t="shared" si="7"/>
        <v>#N/A</v>
      </c>
      <c r="BP14" s="75">
        <f>SUM('FU Distribution'!BG76:$BG$109)</f>
        <v>0</v>
      </c>
      <c r="BQ14" s="76" t="e">
        <f>FORECAST((SUM(BP14:BP1009)),INDEX($B$3:$B$45,MATCH((SUM(BP14:BP1009)),$A$3:$A$45,1)):INDEX($B$3:$B$45,MATCH((SUM(BP14:BP1009)),$A$3:$A$45,1)+1),INDEX($A$3:$A$45,MATCH((SUM(BP14:BP1009)),$A$3:$A$45,1)):INDEX($A$3:$A$45,MATCH((SUM(BP14:BP1009)),$A$3:$A$45,1)+1))</f>
        <v>#N/A</v>
      </c>
      <c r="BR14" s="77" t="e">
        <f t="shared" si="8"/>
        <v>#N/A</v>
      </c>
      <c r="BS14" s="61">
        <f>SUM('FU Distribution'!BI76:$BI$109)+IF('FU Distribution'!$D$112=12,'FU Distribution'!$D$114,0)</f>
        <v>0</v>
      </c>
      <c r="BT14" s="62" t="e">
        <f>FORECAST(BS14,INDEX($B$3:$B$45,MATCH(BS14,$A$3:$A$45,1)):INDEX($B$3:$B$45,MATCH(BS14,$A$3:$A$45,1)+1),INDEX($A$3:$A$45,MATCH(BS14,$A$3:$A$45,1)):INDEX($A$3:$A$45,MATCH(BS14,$A$3:$A$45,1)+1))</f>
        <v>#N/A</v>
      </c>
      <c r="BU14" s="74" t="e">
        <f t="shared" si="9"/>
        <v>#N/A</v>
      </c>
      <c r="BV14" s="61">
        <f>SUM('FU Distribution'!BJ76:$BJ$109)</f>
        <v>0</v>
      </c>
      <c r="BW14" s="62" t="e">
        <f>FORECAST(BV14,INDEX($B$3:$B$45,MATCH(BV14,$A$3:$A$45,1)):INDEX($B$3:$B$45,MATCH(BV14,$A$3:$A$45,1)+1),INDEX($A$3:$A$45,MATCH(BV14,$A$3:$A$45,1)):INDEX($A$3:$A$45,MATCH(BV14,$A$3:$A$45,1)+1))</f>
        <v>#N/A</v>
      </c>
      <c r="BX14" s="74" t="e">
        <f t="shared" si="10"/>
        <v>#N/A</v>
      </c>
      <c r="BY14" s="75">
        <f>SUM('FU Distribution'!BL76:$BL$109)+IF('FU Distribution'!$D$112=13,'FU Distribution'!$D$114,0)</f>
        <v>0</v>
      </c>
      <c r="BZ14" s="76" t="e">
        <f>FORECAST(BY14,INDEX($B$3:$B$45,MATCH(BY14,$A$3:$A$45,1)):INDEX($B$3:$B$45,MATCH(BY14,$A$3:$A$45,1)+1),INDEX($A$3:$A$45,MATCH(BY14,$A$3:$A$45,1)):INDEX($A$3:$A$45,MATCH(BY14,$A$3:$A$45,1)+1))</f>
        <v>#N/A</v>
      </c>
      <c r="CA14" s="77" t="e">
        <f t="shared" si="11"/>
        <v>#N/A</v>
      </c>
      <c r="CB14" s="75">
        <f>SUM('FU Distribution'!BM76:$BM$109)</f>
        <v>0</v>
      </c>
      <c r="CC14" s="76" t="e">
        <f>FORECAST(CB14,INDEX($B$3:$B$45,MATCH(CB14,$A$3:$A$45,1)):INDEX($B$3:$B$45,MATCH(CB14,$A$3:$A$45,1)+1),INDEX($A$3:$A$45,MATCH(CB14,$A$3:$A$45,1)):INDEX($A$3:$A$45,MATCH(CB14,$A$3:$A$45,1)+1))</f>
        <v>#N/A</v>
      </c>
      <c r="CD14" s="77" t="e">
        <f t="shared" si="12"/>
        <v>#N/A</v>
      </c>
      <c r="CE14" s="61">
        <f>SUM('FU Distribution'!BO76:$BO$109)+IF('FU Distribution'!$D$112=13,'FU Distribution'!$D$114,0)</f>
        <v>0</v>
      </c>
      <c r="CF14" s="62" t="e">
        <f>FORECAST(CE14,INDEX($B$3:$B$45,MATCH(CE14,$A$3:$A$45,1)):INDEX($B$3:$B$45,MATCH(CE14,$A$3:$A$45,1)+1),INDEX($A$3:$A$45,MATCH(CE14,$A$3:$A$45,1)):INDEX($A$3:$A$45,MATCH(CE14,$A$3:$A$45,1)+1))</f>
        <v>#N/A</v>
      </c>
      <c r="CG14" s="74" t="e">
        <f t="shared" si="13"/>
        <v>#N/A</v>
      </c>
      <c r="CH14" s="61">
        <f>SUM('FU Distribution'!BP76:$BP$109)</f>
        <v>0</v>
      </c>
      <c r="CI14" s="62" t="e">
        <f>FORECAST(CH14,INDEX($B$3:$B$45,MATCH(CH14,$A$3:$A$45,1)):INDEX($B$3:$B$45,MATCH(CH14,$A$3:$A$45,1)+1),INDEX($A$3:$A$45,MATCH(CH14,$A$3:$A$45,1)):INDEX($A$3:$A$45,MATCH(CH14,$A$3:$A$45,1)+1))</f>
        <v>#N/A</v>
      </c>
      <c r="CJ14" s="74" t="e">
        <f t="shared" si="14"/>
        <v>#N/A</v>
      </c>
    </row>
    <row r="15" spans="1:88" x14ac:dyDescent="0.25">
      <c r="A15" s="2">
        <v>110</v>
      </c>
      <c r="B15" s="2">
        <v>47</v>
      </c>
      <c r="C15" s="63"/>
      <c r="D15" s="52">
        <v>11</v>
      </c>
      <c r="E15" s="61">
        <f>SUM('FU Distribution'!AB77:$AB$109)+IF('FU Distribution'!$D$112=1,'FU Distribution'!$D$114,0)</f>
        <v>0</v>
      </c>
      <c r="F15" s="98" t="e">
        <f>FORECAST((SUM(E15:E1009)),INDEX($B$3:$B$45,MATCH((SUM(E15:E1009)),$A$3:$A$45,1)):INDEX($B$3:$B$45,MATCH((SUM(E15:E1009)),$A$3:$A$45,1)+1),INDEX($A$3:$A$45,MATCH((SUM(E15:E1009)),$A$3:$A$45,1)):INDEX($A$3:$A$45,MATCH((SUM(E15:E1009)),$A$3:$A$45,1)+1))</f>
        <v>#N/A</v>
      </c>
      <c r="G15" s="99" t="e">
        <f t="shared" si="30"/>
        <v>#N/A</v>
      </c>
      <c r="H15" s="61">
        <f>SUM('FU Distribution'!AC77:$AC$109)</f>
        <v>0</v>
      </c>
      <c r="I15" s="98" t="e">
        <f>FORECAST((SUM(H15:H1010)),INDEX($B$3:$B$45,MATCH((SUM(H15:H1010)),$A$3:$A$45,1)):INDEX($B$3:$B$45,MATCH((SUM(H15:H1010)),$A$3:$A$45,1)+1),INDEX($A$3:$A$45,MATCH((SUM(H15:H1010)),$A$3:$A$45,1)):INDEX($A$3:$A$45,MATCH((SUM(H15:H1010)),$A$3:$A$45,1)+1))</f>
        <v>#N/A</v>
      </c>
      <c r="J15" s="99" t="e">
        <f t="shared" si="31"/>
        <v>#N/A</v>
      </c>
      <c r="K15" s="75">
        <f>SUM('FU Distribution'!AE77:$AE$109)+IF('FU Distribution'!$D$112=2,'FU Distribution'!$D$114,0)</f>
        <v>0</v>
      </c>
      <c r="L15" s="100" t="e">
        <f>FORECAST((SUM(K15:K1010)),INDEX($B$3:$B$45,MATCH((SUM(K15:K1010)),$A$3:$A$45,1)):INDEX($B$3:$B$45,MATCH((SUM(K15:K1010)),$A$3:$A$45,1)+1),INDEX($A$3:$A$45,MATCH((SUM(K15:K1010)),$A$3:$A$45,1)):INDEX($A$3:$A$45,MATCH((SUM(K15:K1010)),$A$3:$A$45,1)+1))</f>
        <v>#N/A</v>
      </c>
      <c r="M15" s="101" t="e">
        <f t="shared" si="24"/>
        <v>#N/A</v>
      </c>
      <c r="N15" s="75">
        <f>SUM('FU Distribution'!AF77:$AF$109)</f>
        <v>0</v>
      </c>
      <c r="O15" s="100" t="e">
        <f>FORECAST((SUM(N15:N1010)),INDEX($B$3:$B$45,MATCH((SUM(N15:N1010)),$A$3:$A$45,1)):INDEX($B$3:$B$45,MATCH((SUM(N15:N1010)),$A$3:$A$45,1)+1),INDEX($A$3:$A$45,MATCH((SUM(N15:N1010)),$A$3:$A$45,1)):INDEX($A$3:$A$45,MATCH((SUM(N15:N1010)),$A$3:$A$45,1)+1))</f>
        <v>#N/A</v>
      </c>
      <c r="P15" s="101" t="e">
        <f t="shared" si="32"/>
        <v>#N/A</v>
      </c>
      <c r="Q15" s="61">
        <f>SUM('FU Distribution'!AH77:$AH$109)+IF('FU Distribution'!$D$112=3,'FU Distribution'!$D$114,0)</f>
        <v>0</v>
      </c>
      <c r="R15" s="98" t="e">
        <f>FORECAST((SUM(Q15:Q1010)),INDEX($B$3:$B$45,MATCH((SUM(Q15:Q1010)),$A$3:$A$45,1)):INDEX($B$3:$B$45,MATCH((SUM(Q15:Q1010)),$A$3:$A$45,1)+1),INDEX($A$3:$A$45,MATCH((SUM(Q15:Q1010)),$A$3:$A$45,1)):INDEX($A$3:$A$45,MATCH((SUM(Q15:Q1010)),$A$3:$A$45,1)+1))</f>
        <v>#N/A</v>
      </c>
      <c r="S15" s="99" t="e">
        <f t="shared" si="25"/>
        <v>#N/A</v>
      </c>
      <c r="T15" s="61">
        <f>SUM('FU Distribution'!AI77:$AI$109)</f>
        <v>0</v>
      </c>
      <c r="U15" s="98" t="e">
        <f>FORECAST((SUM(T15:T1010)),INDEX($B$3:$B$45,MATCH((SUM(T15:T1010)),$A$3:$A$45,1)):INDEX($B$3:$B$45,MATCH((SUM(T15:T1010)),$A$3:$A$45,1)+1),INDEX($A$3:$A$45,MATCH((SUM(T15:T1010)),$A$3:$A$45,1)):INDEX($A$3:$A$45,MATCH((SUM(T15:T1010)),$A$3:$A$45,1)+1))</f>
        <v>#N/A</v>
      </c>
      <c r="V15" s="99" t="e">
        <f t="shared" si="0"/>
        <v>#N/A</v>
      </c>
      <c r="W15" s="75">
        <f>SUM('FU Distribution'!AK77:$AK$109)+IF('FU Distribution'!$D$112=4,'FU Distribution'!$D$114,0)</f>
        <v>0</v>
      </c>
      <c r="X15" s="100" t="e">
        <f>FORECAST((SUM(W15:W1010)),INDEX($B$3:$B$45,MATCH((SUM(W15:W1010)),$A$3:$A$45,1)):INDEX($B$3:$B$45,MATCH((SUM(W15:W1010)),$A$3:$A$45,1)+1),INDEX($A$3:$A$45,MATCH((SUM(W15:W1010)),$A$3:$A$45,1)):INDEX($A$3:$A$45,MATCH((SUM(W15:W1010)),$A$3:$A$45,1)+1))</f>
        <v>#N/A</v>
      </c>
      <c r="Y15" s="101" t="e">
        <f t="shared" si="1"/>
        <v>#N/A</v>
      </c>
      <c r="Z15" s="75">
        <f>SUM('FU Distribution'!AL77:$AL$109)</f>
        <v>0</v>
      </c>
      <c r="AA15" s="100" t="e">
        <f>FORECAST((SUM(Z15:Z1010)),INDEX($B$3:$B$45,MATCH((SUM(Z15:Z1010)),$A$3:$A$45,1)):INDEX($B$3:$B$45,MATCH((SUM(Z15:Z1010)),$A$3:$A$45,1)+1),INDEX($A$3:$A$45,MATCH((SUM(Z15:Z1010)),$A$3:$A$45,1)):INDEX($A$3:$A$45,MATCH((SUM(Z15:Z1010)),$A$3:$A$45,1)+1))</f>
        <v>#N/A</v>
      </c>
      <c r="AB15" s="101" t="e">
        <f t="shared" si="33"/>
        <v>#N/A</v>
      </c>
      <c r="AC15" s="61">
        <f>SUM('FU Distribution'!AN77:$AN$109)+IF('FU Distribution'!$D$112=5,'FU Distribution'!$D$114,0)</f>
        <v>0</v>
      </c>
      <c r="AD15" s="98" t="e">
        <f>FORECAST((SUM(AC15:AC1010)),INDEX($B$3:$B$45,MATCH((SUM(AC15:AC1010)),$A$3:$A$45,1)):INDEX($B$3:$B$45,MATCH((SUM(AC15:AC1010)),$A$3:$A$45,1)+1),INDEX($A$3:$A$45,MATCH((SUM(AC15:AC1010)),$A$3:$A$45,1)):INDEX($A$3:$A$45,MATCH((SUM(AC15:AC1010)),$A$3:$A$45,1)+1))</f>
        <v>#N/A</v>
      </c>
      <c r="AE15" s="99" t="e">
        <f t="shared" si="26"/>
        <v>#N/A</v>
      </c>
      <c r="AF15" s="61">
        <f>SUM('FU Distribution'!AO77:$AO$109)</f>
        <v>0</v>
      </c>
      <c r="AG15" s="98" t="e">
        <f>FORECAST((SUM(AF15:AF1010)),INDEX($B$3:$B$45,MATCH((SUM(AF15:AF1010)),$A$3:$A$45,1)):INDEX($B$3:$B$45,MATCH((SUM(AF15:AF1010)),$A$3:$A$45,1)+1),INDEX($A$3:$A$45,MATCH((SUM(AF15:AF1010)),$A$3:$A$45,1)):INDEX($A$3:$A$45,MATCH((SUM(AF15:AF1010)),$A$3:$A$45,1)+1))</f>
        <v>#N/A</v>
      </c>
      <c r="AH15" s="99" t="e">
        <f t="shared" si="34"/>
        <v>#N/A</v>
      </c>
      <c r="AI15" s="75">
        <f>SUM('FU Distribution'!AQ77:$AQ$109)+IF('FU Distribution'!$D$112=6,'FU Distribution'!$D$114,0)</f>
        <v>0</v>
      </c>
      <c r="AJ15" s="100" t="e">
        <f>FORECAST((SUM(AI15:AI1010)),INDEX($B$3:$B$45,MATCH((SUM(AI15:AI1010)),$A$3:$A$45,1)):INDEX($B$3:$B$45,MATCH((SUM(AI15:AI1010)),$A$3:$A$45,1)+1),INDEX($A$3:$A$45,MATCH((SUM(AI15:AI1010)),$A$3:$A$45,1)):INDEX($A$3:$A$45,MATCH((SUM(AI15:AI1010)),$A$3:$A$45,1)+1))</f>
        <v>#N/A</v>
      </c>
      <c r="AK15" s="101" t="e">
        <f t="shared" si="27"/>
        <v>#N/A</v>
      </c>
      <c r="AL15" s="75">
        <f>SUM('FU Distribution'!AR77:$AR$109)</f>
        <v>0</v>
      </c>
      <c r="AM15" s="100" t="e">
        <f>FORECAST((SUM(AL15:AL1010)),INDEX($B$3:$B$45,MATCH((SUM(AL15:AL1010)),$A$3:$A$45,1)):INDEX($B$3:$B$45,MATCH((SUM(AL15:AL1010)),$A$3:$A$45,1)+1),INDEX($A$3:$A$45,MATCH((SUM(AL15:AL1010)),$A$3:$A$45,1)):INDEX($A$3:$A$45,MATCH((SUM(AL15:AL1010)),$A$3:$A$45,1)+1))</f>
        <v>#N/A</v>
      </c>
      <c r="AN15" s="101" t="e">
        <f t="shared" si="35"/>
        <v>#N/A</v>
      </c>
      <c r="AO15" s="61">
        <f>SUM('FU Distribution'!AT77:$AT$109)+IF('FU Distribution'!$D$112=7,'FU Distribution'!$D$114,0)</f>
        <v>0</v>
      </c>
      <c r="AP15" s="98" t="e">
        <f>FORECAST((SUM(AO15:AO1010)),INDEX($B$3:$B$45,MATCH((SUM(AO15:AO1010)),$A$3:$A$45,1)):INDEX($B$3:$B$45,MATCH((SUM(AO15:AO1010)),$A$3:$A$45,1)+1),INDEX($A$3:$A$45,MATCH((SUM(AO15:AO1010)),$A$3:$A$45,1)):INDEX($A$3:$A$45,MATCH((SUM(AO15:AO1010)),$A$3:$A$45,1)+1))</f>
        <v>#N/A</v>
      </c>
      <c r="AQ15" s="99" t="e">
        <f t="shared" si="28"/>
        <v>#N/A</v>
      </c>
      <c r="AR15" s="61">
        <f>SUM('FU Distribution'!AU77:$AU$109)</f>
        <v>0</v>
      </c>
      <c r="AS15" s="98" t="e">
        <f>FORECAST((SUM(AR15:AR1010)),INDEX($B$3:$B$45,MATCH((SUM(AR15:AR1010)),$A$3:$A$45,1)):INDEX($B$3:$B$45,MATCH((SUM(AR15:AR1010)),$A$3:$A$45,1)+1),INDEX($A$3:$A$45,MATCH((SUM(AR15:AR1010)),$A$3:$A$45,1)):INDEX($A$3:$A$45,MATCH((SUM(AR15:AR1010)),$A$3:$A$45,1)+1))</f>
        <v>#N/A</v>
      </c>
      <c r="AT15" s="99" t="e">
        <f t="shared" si="36"/>
        <v>#N/A</v>
      </c>
      <c r="AU15" s="61">
        <f>SUM('FU Distribution'!AW77:$AW$109)+IF('FU Distribution'!$D$112=8,'FU Distribution'!$D$114,0)</f>
        <v>0</v>
      </c>
      <c r="AV15" s="98" t="e">
        <f>FORECAST(AU15,INDEX($B$3:$B$45,MATCH(AU15,$A$3:$A$45,1)):INDEX($B$3:$B$45,MATCH(AU15,$A$3:$A$45,1)+1),INDEX($A$3:$A$45,MATCH(AU15,$A$3:$A$45,1)):INDEX($A$3:$A$45,MATCH(AU15,$A$3:$A$45,1)+1))</f>
        <v>#N/A</v>
      </c>
      <c r="AW15" s="99" t="e">
        <f t="shared" si="29"/>
        <v>#N/A</v>
      </c>
      <c r="AX15" s="61">
        <f>SUM('FU Distribution'!AX77:$AX$109)</f>
        <v>0</v>
      </c>
      <c r="AY15" s="98" t="e">
        <f>FORECAST(AX15,INDEX($B$3:$B$45,MATCH(AX15,$A$3:$A$45,1)):INDEX($B$3:$B$45,MATCH(AX15,$A$3:$A$45,1)+1),INDEX($A$3:$A$45,MATCH(AX15,$A$3:$A$45,1)):INDEX($A$3:$A$45,MATCH(AX15,$A$3:$A$45,1)+1))</f>
        <v>#N/A</v>
      </c>
      <c r="AZ15" s="99" t="e">
        <f t="shared" si="22"/>
        <v>#N/A</v>
      </c>
      <c r="BA15" s="75">
        <f>SUM('FU Distribution'!AZ77:$AZ$109)+IF('FU Distribution'!$D$112=9,'FU Distribution'!$D$114,0)</f>
        <v>0</v>
      </c>
      <c r="BB15" s="76" t="e">
        <f>FORECAST((SUM(BA15:BA1010)),INDEX($B$3:$B$45,MATCH((SUM(BA15:BA1010)),$A$3:$A$45,1)):INDEX($B$3:$B$45,MATCH((SUM(BA15:BA1010)),$A$3:$A$45,1)+1),INDEX($A$3:$A$45,MATCH((SUM(BA15:BA1010)),$A$3:$A$45,1)):INDEX($A$3:$A$45,MATCH((SUM(BA15:BA1010)),$A$3:$A$45,1)+1))</f>
        <v>#N/A</v>
      </c>
      <c r="BC15" s="77" t="e">
        <f t="shared" si="3"/>
        <v>#N/A</v>
      </c>
      <c r="BD15" s="75">
        <f>SUM('FU Distribution'!BA77:$BA$109)</f>
        <v>0</v>
      </c>
      <c r="BE15" s="76" t="e">
        <f>FORECAST((SUM(BD15:BD1010)),INDEX($B$3:$B$45,MATCH((SUM(BD15:BD1010)),$A$3:$A$45,1)):INDEX($B$3:$B$45,MATCH((SUM(BD15:BD1010)),$A$3:$A$45,1)+1),INDEX($A$3:$A$45,MATCH((SUM(BD15:BD1010)),$A$3:$A$45,1)):INDEX($A$3:$A$45,MATCH((SUM(BD15:BD1010)),$A$3:$A$45,1)+1))</f>
        <v>#N/A</v>
      </c>
      <c r="BF15" s="77" t="e">
        <f t="shared" si="4"/>
        <v>#N/A</v>
      </c>
      <c r="BG15" s="61">
        <f>SUM('FU Distribution'!BC77:$BC$109)+IF('FU Distribution'!$D$112=10,'FU Distribution'!$D$114,0)</f>
        <v>0</v>
      </c>
      <c r="BH15" s="62" t="e">
        <f>FORECAST((SUM(BG15:BG1010)),INDEX($B$3:$B$45,MATCH((SUM(BG15:BG1010)),$A$3:$A$45,1)):INDEX($B$3:$B$45,MATCH((SUM(BG15:BG1010)),$A$3:$A$45,1)+1),INDEX($A$3:$A$45,MATCH((SUM(BG15:BG1010)),$A$3:$A$45,1)):INDEX($A$3:$A$45,MATCH((SUM(BG15:BG1010)),$A$3:$A$45,1)+1))</f>
        <v>#N/A</v>
      </c>
      <c r="BI15" s="74" t="e">
        <f t="shared" si="5"/>
        <v>#N/A</v>
      </c>
      <c r="BJ15" s="61">
        <f>SUM('FU Distribution'!BD77:$BD$109)</f>
        <v>0</v>
      </c>
      <c r="BK15" s="62" t="e">
        <f>FORECAST((SUM(BJ15:BJ1010)),INDEX($B$3:$B$45,MATCH((SUM(BJ15:BJ1010)),$A$3:$A$45,1)):INDEX($B$3:$B$45,MATCH((SUM(BJ15:BJ1010)),$A$3:$A$45,1)+1),INDEX($A$3:$A$45,MATCH((SUM(BJ15:BJ1010)),$A$3:$A$45,1)):INDEX($A$3:$A$45,MATCH((SUM(BJ15:BJ1010)),$A$3:$A$45,1)+1))</f>
        <v>#N/A</v>
      </c>
      <c r="BL15" s="74" t="e">
        <f t="shared" si="6"/>
        <v>#N/A</v>
      </c>
      <c r="BM15" s="75">
        <f>SUM('FU Distribution'!BF77:$BF$109)+IF('FU Distribution'!$D$112=11,'FU Distribution'!$D$114,0)</f>
        <v>0</v>
      </c>
      <c r="BN15" s="76" t="e">
        <f>FORECAST((SUM(BM15:BM1010)),INDEX($B$3:$B$45,MATCH((SUM(BM15:BM1010)),$A$3:$A$45,1)):INDEX($B$3:$B$45,MATCH((SUM(BM15:BM1010)),$A$3:$A$45,1)+1),INDEX($A$3:$A$45,MATCH((SUM(BM15:BM1010)),$A$3:$A$45,1)):INDEX($A$3:$A$45,MATCH((SUM(BM15:BM1010)),$A$3:$A$45,1)+1))</f>
        <v>#N/A</v>
      </c>
      <c r="BO15" s="77" t="e">
        <f t="shared" si="7"/>
        <v>#N/A</v>
      </c>
      <c r="BP15" s="75">
        <f>SUM('FU Distribution'!BG77:$BG$109)</f>
        <v>0</v>
      </c>
      <c r="BQ15" s="76" t="e">
        <f>FORECAST((SUM(BP15:BP1010)),INDEX($B$3:$B$45,MATCH((SUM(BP15:BP1010)),$A$3:$A$45,1)):INDEX($B$3:$B$45,MATCH((SUM(BP15:BP1010)),$A$3:$A$45,1)+1),INDEX($A$3:$A$45,MATCH((SUM(BP15:BP1010)),$A$3:$A$45,1)):INDEX($A$3:$A$45,MATCH((SUM(BP15:BP1010)),$A$3:$A$45,1)+1))</f>
        <v>#N/A</v>
      </c>
      <c r="BR15" s="77" t="e">
        <f t="shared" si="8"/>
        <v>#N/A</v>
      </c>
      <c r="BS15" s="61">
        <f>SUM('FU Distribution'!BI77:$BI$109)+IF('FU Distribution'!$D$112=12,'FU Distribution'!$D$114,0)</f>
        <v>0</v>
      </c>
      <c r="BT15" s="62" t="e">
        <f>FORECAST(BS15,INDEX($B$3:$B$45,MATCH(BS15,$A$3:$A$45,1)):INDEX($B$3:$B$45,MATCH(BS15,$A$3:$A$45,1)+1),INDEX($A$3:$A$45,MATCH(BS15,$A$3:$A$45,1)):INDEX($A$3:$A$45,MATCH(BS15,$A$3:$A$45,1)+1))</f>
        <v>#N/A</v>
      </c>
      <c r="BU15" s="74" t="e">
        <f t="shared" si="9"/>
        <v>#N/A</v>
      </c>
      <c r="BV15" s="61">
        <f>SUM('FU Distribution'!BJ77:$BJ$109)</f>
        <v>0</v>
      </c>
      <c r="BW15" s="62" t="e">
        <f>FORECAST(BV15,INDEX($B$3:$B$45,MATCH(BV15,$A$3:$A$45,1)):INDEX($B$3:$B$45,MATCH(BV15,$A$3:$A$45,1)+1),INDEX($A$3:$A$45,MATCH(BV15,$A$3:$A$45,1)):INDEX($A$3:$A$45,MATCH(BV15,$A$3:$A$45,1)+1))</f>
        <v>#N/A</v>
      </c>
      <c r="BX15" s="74" t="e">
        <f t="shared" si="10"/>
        <v>#N/A</v>
      </c>
      <c r="BY15" s="75">
        <f>SUM('FU Distribution'!BL77:$BL$109)+IF('FU Distribution'!$D$112=13,'FU Distribution'!$D$114,0)</f>
        <v>0</v>
      </c>
      <c r="BZ15" s="76" t="e">
        <f>FORECAST(BY15,INDEX($B$3:$B$45,MATCH(BY15,$A$3:$A$45,1)):INDEX($B$3:$B$45,MATCH(BY15,$A$3:$A$45,1)+1),INDEX($A$3:$A$45,MATCH(BY15,$A$3:$A$45,1)):INDEX($A$3:$A$45,MATCH(BY15,$A$3:$A$45,1)+1))</f>
        <v>#N/A</v>
      </c>
      <c r="CA15" s="77" t="e">
        <f t="shared" si="11"/>
        <v>#N/A</v>
      </c>
      <c r="CB15" s="75">
        <f>SUM('FU Distribution'!BM77:$BM$109)</f>
        <v>0</v>
      </c>
      <c r="CC15" s="76" t="e">
        <f>FORECAST(CB15,INDEX($B$3:$B$45,MATCH(CB15,$A$3:$A$45,1)):INDEX($B$3:$B$45,MATCH(CB15,$A$3:$A$45,1)+1),INDEX($A$3:$A$45,MATCH(CB15,$A$3:$A$45,1)):INDEX($A$3:$A$45,MATCH(CB15,$A$3:$A$45,1)+1))</f>
        <v>#N/A</v>
      </c>
      <c r="CD15" s="77" t="e">
        <f t="shared" si="12"/>
        <v>#N/A</v>
      </c>
      <c r="CE15" s="61">
        <f>SUM('FU Distribution'!BO77:$BO$109)+IF('FU Distribution'!$D$112=13,'FU Distribution'!$D$114,0)</f>
        <v>0</v>
      </c>
      <c r="CF15" s="62" t="e">
        <f>FORECAST(CE15,INDEX($B$3:$B$45,MATCH(CE15,$A$3:$A$45,1)):INDEX($B$3:$B$45,MATCH(CE15,$A$3:$A$45,1)+1),INDEX($A$3:$A$45,MATCH(CE15,$A$3:$A$45,1)):INDEX($A$3:$A$45,MATCH(CE15,$A$3:$A$45,1)+1))</f>
        <v>#N/A</v>
      </c>
      <c r="CG15" s="74" t="e">
        <f t="shared" si="13"/>
        <v>#N/A</v>
      </c>
      <c r="CH15" s="61">
        <f>SUM('FU Distribution'!BP77:$BP$109)</f>
        <v>0</v>
      </c>
      <c r="CI15" s="62" t="e">
        <f>FORECAST(CH15,INDEX($B$3:$B$45,MATCH(CH15,$A$3:$A$45,1)):INDEX($B$3:$B$45,MATCH(CH15,$A$3:$A$45,1)+1),INDEX($A$3:$A$45,MATCH(CH15,$A$3:$A$45,1)):INDEX($A$3:$A$45,MATCH(CH15,$A$3:$A$45,1)+1))</f>
        <v>#N/A</v>
      </c>
      <c r="CJ15" s="74" t="e">
        <f t="shared" si="14"/>
        <v>#N/A</v>
      </c>
    </row>
    <row r="16" spans="1:88" x14ac:dyDescent="0.25">
      <c r="A16" s="2">
        <v>120</v>
      </c>
      <c r="B16" s="2">
        <v>49</v>
      </c>
      <c r="C16" s="63"/>
      <c r="D16" s="52">
        <v>12</v>
      </c>
      <c r="E16" s="61">
        <f>SUM('FU Distribution'!AB78:$AB$109)+IF('FU Distribution'!$D$112=1,'FU Distribution'!$D$114,0)</f>
        <v>0</v>
      </c>
      <c r="F16" s="96" t="e">
        <f>FORECAST((SUM(E16:E1011)),INDEX($B$3:$B$45,MATCH((SUM(E16:E1011)),$A$3:$A$45,1)):INDEX($B$3:$B$45,MATCH((SUM(E16:E1011)),$A$3:$A$45,1)+1),INDEX($A$3:$A$45,MATCH((SUM(E16:E1011)),$A$3:$A$45,1)):INDEX($A$3:$A$45,MATCH((SUM(E16:E1011)),$A$3:$A$45,1)+1))</f>
        <v>#N/A</v>
      </c>
      <c r="G16" s="97" t="e">
        <f t="shared" ref="G16:G17" si="37">IF(AND(F16&lt;=750,F16&gt;250),6,IF(AND(F16&lt;=250,F16&gt;120),4,IF(AND(F16&lt;=120,F16&gt;75),3,IF(AND(F16&lt;=75,F16&gt;40),2.5,IF(AND(F16&lt;=40,F16&gt;20),2,IF(AND(F16&lt;=20,F16&gt;14),1.5,IF(AND(F16&lt;=14,F16&gt;7),1.25,IF(AND(F16&lt;=7,F16&gt;3.5),1,IF(AND(F16&lt;=3.5,F16&gt;1.7),0.75,IF(AND(F16&lt;=1.7,F16&gt;0),0.5,IF(AND(F16&lt;=0,F16&gt;-1),0)))))))))))</f>
        <v>#N/A</v>
      </c>
      <c r="H16" s="61">
        <f>SUM('FU Distribution'!AC78:$AC$109)</f>
        <v>0</v>
      </c>
      <c r="I16" s="96" t="e">
        <f>FORECAST((SUM(H16:H1011)),INDEX($B$3:$B$45,MATCH((SUM(H16:H1011)),$A$3:$A$45,1)):INDEX($B$3:$B$45,MATCH((SUM(H16:H1011)),$A$3:$A$45,1)+1),INDEX($A$3:$A$45,MATCH((SUM(H16:H1011)),$A$3:$A$45,1)):INDEX($A$3:$A$45,MATCH((SUM(H16:H1011)),$A$3:$A$45,1)+1))</f>
        <v>#N/A</v>
      </c>
      <c r="J16" s="97" t="e">
        <f t="shared" ref="J16:J17" si="38">IF(AND(I16&lt;=750,I16&gt;250),6,IF(AND(I16&lt;=250,I16&gt;120),4,IF(AND(I16&lt;=120,I16&gt;75),3,IF(AND(I16&lt;=75,I16&gt;40),2.5,IF(AND(I16&lt;=40,I16&gt;20),2,IF(AND(I16&lt;=20,I16&gt;14),1.5,IF(AND(I16&lt;=14,I16&gt;7),1.25,IF(AND(I16&lt;=7,I16&gt;3.5),1,IF(AND(I16&lt;=3.5,I16&gt;1.7),0.75,IF(AND(I16&lt;=1.7,I16&gt;0),0.5,IF(AND(I16&lt;=0,I16&gt;-1),0)))))))))))</f>
        <v>#N/A</v>
      </c>
      <c r="K16" s="75">
        <f>SUM('FU Distribution'!AE78:$AE$109)+IF('FU Distribution'!$D$112=2,'FU Distribution'!$D$114,0)</f>
        <v>0</v>
      </c>
      <c r="L16" s="96" t="e">
        <f>FORECAST((SUM(K16:K1011)),INDEX($B$3:$B$45,MATCH((SUM(K16:K1011)),$A$3:$A$45,1)):INDEX($B$3:$B$45,MATCH((SUM(K16:K1011)),$A$3:$A$45,1)+1),INDEX($A$3:$A$45,MATCH((SUM(K16:K1011)),$A$3:$A$45,1)):INDEX($A$3:$A$45,MATCH((SUM(K16:K1011)),$A$3:$A$45,1)+1))</f>
        <v>#N/A</v>
      </c>
      <c r="M16" s="97" t="e">
        <f t="shared" ref="M16:M17" si="39">IF(AND(L16&lt;=750,L16&gt;250),6,IF(AND(L16&lt;=250,L16&gt;120),4,IF(AND(L16&lt;=120,L16&gt;75),3,IF(AND(L16&lt;=75,L16&gt;40),2.5,IF(AND(L16&lt;=40,L16&gt;20),2,IF(AND(L16&lt;=20,L16&gt;14),1.5,IF(AND(L16&lt;=14,L16&gt;7),1.25,IF(AND(L16&lt;=7,L16&gt;3.5),1,IF(AND(L16&lt;=3.5,L16&gt;1.7),0.75,IF(AND(L16&lt;=1.7,L16&gt;0),0.5,IF(AND(L16&lt;=0,L16&gt;-1),0)))))))))))</f>
        <v>#N/A</v>
      </c>
      <c r="N16" s="75">
        <f>SUM('FU Distribution'!AF78:$AF$109)</f>
        <v>0</v>
      </c>
      <c r="O16" s="96" t="e">
        <f>FORECAST((SUM(N16:N1011)),INDEX($B$3:$B$45,MATCH((SUM(N16:N1011)),$A$3:$A$45,1)):INDEX($B$3:$B$45,MATCH((SUM(N16:N1011)),$A$3:$A$45,1)+1),INDEX($A$3:$A$45,MATCH((SUM(N16:N1011)),$A$3:$A$45,1)):INDEX($A$3:$A$45,MATCH((SUM(N16:N1011)),$A$3:$A$45,1)+1))</f>
        <v>#N/A</v>
      </c>
      <c r="P16" s="97" t="e">
        <f t="shared" ref="P16:P17" si="40">IF(AND(O16&lt;=750,O16&gt;250),6,IF(AND(O16&lt;=250,O16&gt;120),4,IF(AND(O16&lt;=120,O16&gt;75),3,IF(AND(O16&lt;=75,O16&gt;40),2.5,IF(AND(O16&lt;=40,O16&gt;20),2,IF(AND(O16&lt;=20,O16&gt;14),1.5,IF(AND(O16&lt;=14,O16&gt;7),1.25,IF(AND(O16&lt;=7,O16&gt;3.5),1,IF(AND(O16&lt;=3.5,O16&gt;1.7),0.75,IF(AND(O16&lt;=1.7,O16&gt;0),0.5,IF(AND(O16&lt;=0,O16&gt;-1),0)))))))))))</f>
        <v>#N/A</v>
      </c>
      <c r="Q16" s="61">
        <f>SUM('FU Distribution'!AH78:$AH$109)+IF('FU Distribution'!$D$112=3,'FU Distribution'!$D$114,0)</f>
        <v>0</v>
      </c>
      <c r="R16" s="96" t="e">
        <f>FORECAST((SUM(Q16:Q1011)),INDEX($B$3:$B$45,MATCH((SUM(Q16:Q1011)),$A$3:$A$45,1)):INDEX($B$3:$B$45,MATCH((SUM(Q16:Q1011)),$A$3:$A$45,1)+1),INDEX($A$3:$A$45,MATCH((SUM(Q16:Q1011)),$A$3:$A$45,1)):INDEX($A$3:$A$45,MATCH((SUM(Q16:Q1011)),$A$3:$A$45,1)+1))</f>
        <v>#N/A</v>
      </c>
      <c r="S16" s="97" t="e">
        <f t="shared" ref="S16:S17" si="41">IF(AND(R16&lt;=750,R16&gt;250),6,IF(AND(R16&lt;=250,R16&gt;120),4,IF(AND(R16&lt;=120,R16&gt;75),3,IF(AND(R16&lt;=75,R16&gt;40),2.5,IF(AND(R16&lt;=40,R16&gt;20),2,IF(AND(R16&lt;=20,R16&gt;14),1.5,IF(AND(R16&lt;=14,R16&gt;7),1.25,IF(AND(R16&lt;=7,R16&gt;3.5),1,IF(AND(R16&lt;=3.5,R16&gt;1.7),0.75,IF(AND(R16&lt;=1.7,R16&gt;0),0.5,IF(AND(R16&lt;=0,R16&gt;-1),0)))))))))))</f>
        <v>#N/A</v>
      </c>
      <c r="T16" s="61">
        <f>SUM('FU Distribution'!AI78:$AI$109)</f>
        <v>0</v>
      </c>
      <c r="U16" s="96" t="e">
        <f>FORECAST((SUM(T16:T1011)),INDEX($B$3:$B$45,MATCH((SUM(T16:T1011)),$A$3:$A$45,1)):INDEX($B$3:$B$45,MATCH((SUM(T16:T1011)),$A$3:$A$45,1)+1),INDEX($A$3:$A$45,MATCH((SUM(T16:T1011)),$A$3:$A$45,1)):INDEX($A$3:$A$45,MATCH((SUM(T16:T1011)),$A$3:$A$45,1)+1))</f>
        <v>#N/A</v>
      </c>
      <c r="V16" s="97" t="e">
        <f t="shared" si="0"/>
        <v>#N/A</v>
      </c>
      <c r="W16" s="75">
        <f>SUM('FU Distribution'!AK78:$AK$109)+IF('FU Distribution'!$D$112=4,'FU Distribution'!$D$114,0)</f>
        <v>0</v>
      </c>
      <c r="X16" s="96" t="e">
        <f>FORECAST((SUM(W16:W1011)),INDEX($B$3:$B$45,MATCH((SUM(W16:W1011)),$A$3:$A$45,1)):INDEX($B$3:$B$45,MATCH((SUM(W16:W1011)),$A$3:$A$45,1)+1),INDEX($A$3:$A$45,MATCH((SUM(W16:W1011)),$A$3:$A$45,1)):INDEX($A$3:$A$45,MATCH((SUM(W16:W1011)),$A$3:$A$45,1)+1))</f>
        <v>#N/A</v>
      </c>
      <c r="Y16" s="97" t="e">
        <f t="shared" si="1"/>
        <v>#N/A</v>
      </c>
      <c r="Z16" s="75">
        <f>SUM('FU Distribution'!AL78:$AL$109)</f>
        <v>0</v>
      </c>
      <c r="AA16" s="96" t="e">
        <f>FORECAST((SUM(Z16:Z1011)),INDEX($B$3:$B$45,MATCH((SUM(Z16:Z1011)),$A$3:$A$45,1)):INDEX($B$3:$B$45,MATCH((SUM(Z16:Z1011)),$A$3:$A$45,1)+1),INDEX($A$3:$A$45,MATCH((SUM(Z16:Z1011)),$A$3:$A$45,1)):INDEX($A$3:$A$45,MATCH((SUM(Z16:Z1011)),$A$3:$A$45,1)+1))</f>
        <v>#N/A</v>
      </c>
      <c r="AB16" s="97" t="e">
        <f t="shared" ref="AB16:AB17" si="42">IF(AND(AA16&lt;=750,AA16&gt;250),6,IF(AND(AA16&lt;=250,AA16&gt;120),4,IF(AND(AA16&lt;=120,AA16&gt;75),3,IF(AND(AA16&lt;=75,AA16&gt;40),2.5,IF(AND(AA16&lt;=40,AA16&gt;20),2,IF(AND(AA16&lt;=20,AA16&gt;14),1.5,IF(AND(AA16&lt;=14,AA16&gt;7),1.25,IF(AND(AA16&lt;=7,AA16&gt;3.5),1,IF(AND(AA16&lt;=3.5,AA16&gt;1.7),0.75,IF(AND(AA16&lt;=1.7,AA16&gt;0),0.5,IF(AND(AA16&lt;=0,AA16&gt;-1),0)))))))))))</f>
        <v>#N/A</v>
      </c>
      <c r="AC16" s="61">
        <f>SUM('FU Distribution'!AN78:$AN$109)+IF('FU Distribution'!$D$112=5,'FU Distribution'!$D$114,0)</f>
        <v>0</v>
      </c>
      <c r="AD16" s="96" t="e">
        <f>FORECAST((SUM(AC16:AC1011)),INDEX($B$3:$B$45,MATCH((SUM(AC16:AC1011)),$A$3:$A$45,1)):INDEX($B$3:$B$45,MATCH((SUM(AC16:AC1011)),$A$3:$A$45,1)+1),INDEX($A$3:$A$45,MATCH((SUM(AC16:AC1011)),$A$3:$A$45,1)):INDEX($A$3:$A$45,MATCH((SUM(AC16:AC1011)),$A$3:$A$45,1)+1))</f>
        <v>#N/A</v>
      </c>
      <c r="AE16" s="97" t="e">
        <f t="shared" ref="AE16:AE17" si="43">IF(AND(AD16&lt;=750,AD16&gt;250),6,IF(AND(AD16&lt;=250,AD16&gt;120),4,IF(AND(AD16&lt;=120,AD16&gt;75),3,IF(AND(AD16&lt;=75,AD16&gt;40),2.5,IF(AND(AD16&lt;=40,AD16&gt;20),2,IF(AND(AD16&lt;=20,AD16&gt;14),1.5,IF(AND(AD16&lt;=14,AD16&gt;7),1.25,IF(AND(AD16&lt;=7,AD16&gt;3.5),1,IF(AND(AD16&lt;=3.5,AD16&gt;1.7),0.75,IF(AND(AD16&lt;=1.7,AD16&gt;0),0.5,IF(AND(AD16&lt;=0,AD16&gt;-1),0)))))))))))</f>
        <v>#N/A</v>
      </c>
      <c r="AF16" s="61">
        <f>SUM('FU Distribution'!AO78:$AO$109)</f>
        <v>0</v>
      </c>
      <c r="AG16" s="96" t="e">
        <f>FORECAST((SUM(AF16:AF1011)),INDEX($B$3:$B$45,MATCH((SUM(AF16:AF1011)),$A$3:$A$45,1)):INDEX($B$3:$B$45,MATCH((SUM(AF16:AF1011)),$A$3:$A$45,1)+1),INDEX($A$3:$A$45,MATCH((SUM(AF16:AF1011)),$A$3:$A$45,1)):INDEX($A$3:$A$45,MATCH((SUM(AF16:AF1011)),$A$3:$A$45,1)+1))</f>
        <v>#N/A</v>
      </c>
      <c r="AH16" s="97" t="e">
        <f t="shared" ref="AH16:AH17" si="44">IF(AND(AG16&lt;=750,AG16&gt;250),6,IF(AND(AG16&lt;=250,AG16&gt;120),4,IF(AND(AG16&lt;=120,AG16&gt;75),3,IF(AND(AG16&lt;=75,AG16&gt;40),2.5,IF(AND(AG16&lt;=40,AG16&gt;20),2,IF(AND(AG16&lt;=20,AG16&gt;14),1.5,IF(AND(AG16&lt;=14,AG16&gt;7),1.25,IF(AND(AG16&lt;=7,AG16&gt;3.5),1,IF(AND(AG16&lt;=3.5,AG16&gt;1.7),0.75,IF(AND(AG16&lt;=1.7,AG16&gt;0),0.5,IF(AND(AG16&lt;=0,AG16&gt;-1),0)))))))))))</f>
        <v>#N/A</v>
      </c>
      <c r="AI16" s="75">
        <f>SUM('FU Distribution'!AQ78:$AQ$109)+IF('FU Distribution'!$D$112=6,'FU Distribution'!$D$114,0)</f>
        <v>0</v>
      </c>
      <c r="AJ16" s="96" t="e">
        <f>FORECAST((SUM(AI16:AI1011)),INDEX($B$3:$B$45,MATCH((SUM(AI16:AI1011)),$A$3:$A$45,1)):INDEX($B$3:$B$45,MATCH((SUM(AI16:AI1011)),$A$3:$A$45,1)+1),INDEX($A$3:$A$45,MATCH((SUM(AI16:AI1011)),$A$3:$A$45,1)):INDEX($A$3:$A$45,MATCH((SUM(AI16:AI1011)),$A$3:$A$45,1)+1))</f>
        <v>#N/A</v>
      </c>
      <c r="AK16" s="97" t="e">
        <f t="shared" ref="AK16:AK17" si="45">IF(AND(AJ16&lt;=750,AJ16&gt;250),6,IF(AND(AJ16&lt;=250,AJ16&gt;120),4,IF(AND(AJ16&lt;=120,AJ16&gt;75),3,IF(AND(AJ16&lt;=75,AJ16&gt;40),2.5,IF(AND(AJ16&lt;=40,AJ16&gt;20),2,IF(AND(AJ16&lt;=20,AJ16&gt;14),1.5,IF(AND(AJ16&lt;=14,AJ16&gt;7),1.25,IF(AND(AJ16&lt;=7,AJ16&gt;3.5),1,IF(AND(AJ16&lt;=3.5,AJ16&gt;1.7),0.75,IF(AND(AJ16&lt;=1.7,AJ16&gt;0),0.5,IF(AND(AJ16&lt;=0,AJ16&gt;-1),0)))))))))))</f>
        <v>#N/A</v>
      </c>
      <c r="AL16" s="75">
        <f>SUM('FU Distribution'!AR78:$AR$109)</f>
        <v>0</v>
      </c>
      <c r="AM16" s="96" t="e">
        <f>FORECAST((SUM(AL16:AL1011)),INDEX($B$3:$B$45,MATCH((SUM(AL16:AL1011)),$A$3:$A$45,1)):INDEX($B$3:$B$45,MATCH((SUM(AL16:AL1011)),$A$3:$A$45,1)+1),INDEX($A$3:$A$45,MATCH((SUM(AL16:AL1011)),$A$3:$A$45,1)):INDEX($A$3:$A$45,MATCH((SUM(AL16:AL1011)),$A$3:$A$45,1)+1))</f>
        <v>#N/A</v>
      </c>
      <c r="AN16" s="97" t="e">
        <f t="shared" ref="AN16:AN17" si="46">IF(AND(AM16&lt;=750,AM16&gt;250),6,IF(AND(AM16&lt;=250,AM16&gt;120),4,IF(AND(AM16&lt;=120,AM16&gt;75),3,IF(AND(AM16&lt;=75,AM16&gt;40),2.5,IF(AND(AM16&lt;=40,AM16&gt;20),2,IF(AND(AM16&lt;=20,AM16&gt;14),1.5,IF(AND(AM16&lt;=14,AM16&gt;7),1.25,IF(AND(AM16&lt;=7,AM16&gt;3.5),1,IF(AND(AM16&lt;=3.5,AM16&gt;1.7),0.75,IF(AND(AM16&lt;=1.7,AM16&gt;0),0.5,IF(AND(AM16&lt;=0,AM16&gt;-1),0)))))))))))</f>
        <v>#N/A</v>
      </c>
      <c r="AO16" s="61">
        <f>SUM('FU Distribution'!AT78:$AT$109)+IF('FU Distribution'!$D$112=7,'FU Distribution'!$D$114,0)</f>
        <v>0</v>
      </c>
      <c r="AP16" s="96" t="e">
        <f>FORECAST((SUM(AO16:AO1011)),INDEX($B$3:$B$45,MATCH((SUM(AO16:AO1011)),$A$3:$A$45,1)):INDEX($B$3:$B$45,MATCH((SUM(AO16:AO1011)),$A$3:$A$45,1)+1),INDEX($A$3:$A$45,MATCH((SUM(AO16:AO1011)),$A$3:$A$45,1)):INDEX($A$3:$A$45,MATCH((SUM(AO16:AO1011)),$A$3:$A$45,1)+1))</f>
        <v>#N/A</v>
      </c>
      <c r="AQ16" s="97" t="e">
        <f t="shared" ref="AQ16:AQ17" si="47">IF(AND(AP16&lt;=750,AP16&gt;250),6,IF(AND(AP16&lt;=250,AP16&gt;120),4,IF(AND(AP16&lt;=120,AP16&gt;75),3,IF(AND(AP16&lt;=75,AP16&gt;40),2.5,IF(AND(AP16&lt;=40,AP16&gt;20),2,IF(AND(AP16&lt;=20,AP16&gt;14),1.5,IF(AND(AP16&lt;=14,AP16&gt;7),1.25,IF(AND(AP16&lt;=7,AP16&gt;3.5),1,IF(AND(AP16&lt;=3.5,AP16&gt;1.7),0.75,IF(AND(AP16&lt;=1.7,AP16&gt;0),0.5,IF(AND(AP16&lt;=0,AP16&gt;-1),0)))))))))))</f>
        <v>#N/A</v>
      </c>
      <c r="AR16" s="61">
        <f>SUM('FU Distribution'!AU78:$AU$109)</f>
        <v>0</v>
      </c>
      <c r="AS16" s="96" t="e">
        <f>FORECAST((SUM(AR16:AR1011)),INDEX($B$3:$B$45,MATCH((SUM(AR16:AR1011)),$A$3:$A$45,1)):INDEX($B$3:$B$45,MATCH((SUM(AR16:AR1011)),$A$3:$A$45,1)+1),INDEX($A$3:$A$45,MATCH((SUM(AR16:AR1011)),$A$3:$A$45,1)):INDEX($A$3:$A$45,MATCH((SUM(AR16:AR1011)),$A$3:$A$45,1)+1))</f>
        <v>#N/A</v>
      </c>
      <c r="AT16" s="97" t="e">
        <f t="shared" ref="AT16:AT17" si="48">IF(AND(AS16&lt;=750,AS16&gt;250),6,IF(AND(AS16&lt;=250,AS16&gt;120),4,IF(AND(AS16&lt;=120,AS16&gt;75),3,IF(AND(AS16&lt;=75,AS16&gt;40),2.5,IF(AND(AS16&lt;=40,AS16&gt;20),2,IF(AND(AS16&lt;=20,AS16&gt;14),1.5,IF(AND(AS16&lt;=14,AS16&gt;7),1.25,IF(AND(AS16&lt;=7,AS16&gt;3.5),1,IF(AND(AS16&lt;=3.5,AS16&gt;1.7),0.75,IF(AND(AS16&lt;=1.7,AS16&gt;0),0.5,IF(AND(AS16&lt;=0,AS16&gt;-1),0)))))))))))</f>
        <v>#N/A</v>
      </c>
      <c r="AU16" s="61">
        <f>SUM('FU Distribution'!AW78:$AW$109)+IF('FU Distribution'!$D$112=8,'FU Distribution'!$D$114,0)</f>
        <v>0</v>
      </c>
      <c r="AV16" s="98" t="e">
        <f>FORECAST(AU16,INDEX($B$3:$B$45,MATCH(AU16,$A$3:$A$45,1)):INDEX($B$3:$B$45,MATCH(AU16,$A$3:$A$45,1)+1),INDEX($A$3:$A$45,MATCH(AU16,$A$3:$A$45,1)):INDEX($A$3:$A$45,MATCH(AU16,$A$3:$A$45,1)+1))</f>
        <v>#N/A</v>
      </c>
      <c r="AW16" s="97" t="e">
        <f t="shared" ref="AW16:AW17" si="49">IF(AND(AV16&lt;=750,AV16&gt;250),6,IF(AND(AV16&lt;=250,AV16&gt;120),4,IF(AND(AV16&lt;=120,AV16&gt;75),3,IF(AND(AV16&lt;=75,AV16&gt;40),2.5,IF(AND(AV16&lt;=40,AV16&gt;20),2,IF(AND(AV16&lt;=20,AV16&gt;14),1.5,IF(AND(AV16&lt;=14,AV16&gt;7),1.25,IF(AND(AV16&lt;=7,AV16&gt;3.5),1,IF(AND(AV16&lt;=3.5,AV16&gt;1.7),0.75,IF(AND(AV16&lt;=1.7,AV16&gt;0),0.5,IF(AND(AV16&lt;=0,AV16&gt;-1),0)))))))))))</f>
        <v>#N/A</v>
      </c>
      <c r="AX16" s="61">
        <f>SUM('FU Distribution'!AX78:$AX$109)</f>
        <v>0</v>
      </c>
      <c r="AY16" s="98" t="e">
        <f>FORECAST(AX16,INDEX($B$3:$B$45,MATCH(AX16,$A$3:$A$45,1)):INDEX($B$3:$B$45,MATCH(AX16,$A$3:$A$45,1)+1),INDEX($A$3:$A$45,MATCH(AX16,$A$3:$A$45,1)):INDEX($A$3:$A$45,MATCH(AX16,$A$3:$A$45,1)+1))</f>
        <v>#N/A</v>
      </c>
      <c r="AZ16" s="97" t="e">
        <f t="shared" ref="AZ16:AZ17" si="50">IF(AND(AY16&lt;=750,AY16&gt;250),6,IF(AND(AY16&lt;=250,AY16&gt;120),4,IF(AND(AY16&lt;=120,AY16&gt;75),3,IF(AND(AY16&lt;=75,AY16&gt;40),2.5,IF(AND(AY16&lt;=40,AY16&gt;20),2,IF(AND(AY16&lt;=20,AY16&gt;14),1.5,IF(AND(AY16&lt;=14,AY16&gt;7),1.25,IF(AND(AY16&lt;=7,AY16&gt;3.5),1,IF(AND(AY16&lt;=3.5,AY16&gt;1.7),0.75,IF(AND(AY16&lt;=1.7,AY16&gt;0),0.5,IF(AND(AY16&lt;=0,AY16&gt;-1),0)))))))))))</f>
        <v>#N/A</v>
      </c>
      <c r="BA16" s="75">
        <f>SUM('FU Distribution'!AZ78:$AZ$109)+IF('FU Distribution'!$D$112=9,'FU Distribution'!$D$114,0)</f>
        <v>0</v>
      </c>
      <c r="BB16" s="76" t="e">
        <f>FORECAST((SUM(BA16:BA1011)),INDEX($B$3:$B$45,MATCH((SUM(BA16:BA1011)),$A$3:$A$45,1)):INDEX($B$3:$B$45,MATCH((SUM(BA16:BA1011)),$A$3:$A$45,1)+1),INDEX($A$3:$A$45,MATCH((SUM(BA16:BA1011)),$A$3:$A$45,1)):INDEX($A$3:$A$45,MATCH((SUM(BA16:BA1011)),$A$3:$A$45,1)+1))</f>
        <v>#N/A</v>
      </c>
      <c r="BC16" s="77" t="e">
        <f t="shared" si="3"/>
        <v>#N/A</v>
      </c>
      <c r="BD16" s="75">
        <f>SUM('FU Distribution'!BA78:$BA$109)</f>
        <v>0</v>
      </c>
      <c r="BE16" s="76" t="e">
        <f>FORECAST((SUM(BD16:BD1011)),INDEX($B$3:$B$45,MATCH((SUM(BD16:BD1011)),$A$3:$A$45,1)):INDEX($B$3:$B$45,MATCH((SUM(BD16:BD1011)),$A$3:$A$45,1)+1),INDEX($A$3:$A$45,MATCH((SUM(BD16:BD1011)),$A$3:$A$45,1)):INDEX($A$3:$A$45,MATCH((SUM(BD16:BD1011)),$A$3:$A$45,1)+1))</f>
        <v>#N/A</v>
      </c>
      <c r="BF16" s="77" t="e">
        <f t="shared" si="4"/>
        <v>#N/A</v>
      </c>
      <c r="BG16" s="61">
        <f>SUM('FU Distribution'!BC78:$BC$109)+IF('FU Distribution'!$D$112=10,'FU Distribution'!$D$114,0)</f>
        <v>0</v>
      </c>
      <c r="BH16" s="62" t="e">
        <f>FORECAST((SUM(BG16:BG1011)),INDEX($B$3:$B$45,MATCH((SUM(BG16:BG1011)),$A$3:$A$45,1)):INDEX($B$3:$B$45,MATCH((SUM(BG16:BG1011)),$A$3:$A$45,1)+1),INDEX($A$3:$A$45,MATCH((SUM(BG16:BG1011)),$A$3:$A$45,1)):INDEX($A$3:$A$45,MATCH((SUM(BG16:BG1011)),$A$3:$A$45,1)+1))</f>
        <v>#N/A</v>
      </c>
      <c r="BI16" s="74" t="e">
        <f t="shared" si="5"/>
        <v>#N/A</v>
      </c>
      <c r="BJ16" s="61">
        <f>SUM('FU Distribution'!BD78:$BD$109)</f>
        <v>0</v>
      </c>
      <c r="BK16" s="62" t="e">
        <f>FORECAST((SUM(BJ16:BJ1011)),INDEX($B$3:$B$45,MATCH((SUM(BJ16:BJ1011)),$A$3:$A$45,1)):INDEX($B$3:$B$45,MATCH((SUM(BJ16:BJ1011)),$A$3:$A$45,1)+1),INDEX($A$3:$A$45,MATCH((SUM(BJ16:BJ1011)),$A$3:$A$45,1)):INDEX($A$3:$A$45,MATCH((SUM(BJ16:BJ1011)),$A$3:$A$45,1)+1))</f>
        <v>#N/A</v>
      </c>
      <c r="BL16" s="74" t="e">
        <f t="shared" si="6"/>
        <v>#N/A</v>
      </c>
      <c r="BM16" s="75">
        <f>SUM('FU Distribution'!BF78:$BF$109)+IF('FU Distribution'!$D$112=11,'FU Distribution'!$D$114,0)</f>
        <v>0</v>
      </c>
      <c r="BN16" s="76" t="e">
        <f>FORECAST((SUM(BM16:BM1011)),INDEX($B$3:$B$45,MATCH((SUM(BM16:BM1011)),$A$3:$A$45,1)):INDEX($B$3:$B$45,MATCH((SUM(BM16:BM1011)),$A$3:$A$45,1)+1),INDEX($A$3:$A$45,MATCH((SUM(BM16:BM1011)),$A$3:$A$45,1)):INDEX($A$3:$A$45,MATCH((SUM(BM16:BM1011)),$A$3:$A$45,1)+1))</f>
        <v>#N/A</v>
      </c>
      <c r="BO16" s="77" t="e">
        <f t="shared" si="7"/>
        <v>#N/A</v>
      </c>
      <c r="BP16" s="75">
        <f>SUM('FU Distribution'!BG78:$BG$109)</f>
        <v>0</v>
      </c>
      <c r="BQ16" s="76" t="e">
        <f>FORECAST((SUM(BP16:BP1011)),INDEX($B$3:$B$45,MATCH((SUM(BP16:BP1011)),$A$3:$A$45,1)):INDEX($B$3:$B$45,MATCH((SUM(BP16:BP1011)),$A$3:$A$45,1)+1),INDEX($A$3:$A$45,MATCH((SUM(BP16:BP1011)),$A$3:$A$45,1)):INDEX($A$3:$A$45,MATCH((SUM(BP16:BP1011)),$A$3:$A$45,1)+1))</f>
        <v>#N/A</v>
      </c>
      <c r="BR16" s="77" t="e">
        <f t="shared" si="8"/>
        <v>#N/A</v>
      </c>
      <c r="BS16" s="61">
        <f>SUM('FU Distribution'!BI78:$BI$109)+IF('FU Distribution'!$D$112=12,'FU Distribution'!$D$114,0)</f>
        <v>0</v>
      </c>
      <c r="BT16" s="62" t="e">
        <f>FORECAST(BS16,INDEX($B$3:$B$45,MATCH(BS16,$A$3:$A$45,1)):INDEX($B$3:$B$45,MATCH(BS16,$A$3:$A$45,1)+1),INDEX($A$3:$A$45,MATCH(BS16,$A$3:$A$45,1)):INDEX($A$3:$A$45,MATCH(BS16,$A$3:$A$45,1)+1))</f>
        <v>#N/A</v>
      </c>
      <c r="BU16" s="74" t="e">
        <f t="shared" si="9"/>
        <v>#N/A</v>
      </c>
      <c r="BV16" s="61">
        <f>SUM('FU Distribution'!BJ78:$BJ$109)</f>
        <v>0</v>
      </c>
      <c r="BW16" s="62" t="e">
        <f>FORECAST(BV16,INDEX($B$3:$B$45,MATCH(BV16,$A$3:$A$45,1)):INDEX($B$3:$B$45,MATCH(BV16,$A$3:$A$45,1)+1),INDEX($A$3:$A$45,MATCH(BV16,$A$3:$A$45,1)):INDEX($A$3:$A$45,MATCH(BV16,$A$3:$A$45,1)+1))</f>
        <v>#N/A</v>
      </c>
      <c r="BX16" s="74" t="e">
        <f t="shared" si="10"/>
        <v>#N/A</v>
      </c>
      <c r="BY16" s="75">
        <f>SUM('FU Distribution'!BL78:$BL$109)+IF('FU Distribution'!$D$112=13,'FU Distribution'!$D$114,0)</f>
        <v>0</v>
      </c>
      <c r="BZ16" s="76" t="e">
        <f>FORECAST(BY16,INDEX($B$3:$B$45,MATCH(BY16,$A$3:$A$45,1)):INDEX($B$3:$B$45,MATCH(BY16,$A$3:$A$45,1)+1),INDEX($A$3:$A$45,MATCH(BY16,$A$3:$A$45,1)):INDEX($A$3:$A$45,MATCH(BY16,$A$3:$A$45,1)+1))</f>
        <v>#N/A</v>
      </c>
      <c r="CA16" s="77" t="e">
        <f t="shared" si="11"/>
        <v>#N/A</v>
      </c>
      <c r="CB16" s="75">
        <f>SUM('FU Distribution'!BM78:$BM$109)</f>
        <v>0</v>
      </c>
      <c r="CC16" s="76" t="e">
        <f>FORECAST(CB16,INDEX($B$3:$B$45,MATCH(CB16,$A$3:$A$45,1)):INDEX($B$3:$B$45,MATCH(CB16,$A$3:$A$45,1)+1),INDEX($A$3:$A$45,MATCH(CB16,$A$3:$A$45,1)):INDEX($A$3:$A$45,MATCH(CB16,$A$3:$A$45,1)+1))</f>
        <v>#N/A</v>
      </c>
      <c r="CD16" s="77" t="e">
        <f t="shared" si="12"/>
        <v>#N/A</v>
      </c>
      <c r="CE16" s="61">
        <f>SUM('FU Distribution'!BO78:$BO$109)+IF('FU Distribution'!$D$112=13,'FU Distribution'!$D$114,0)</f>
        <v>0</v>
      </c>
      <c r="CF16" s="62" t="e">
        <f>FORECAST(CE16,INDEX($B$3:$B$45,MATCH(CE16,$A$3:$A$45,1)):INDEX($B$3:$B$45,MATCH(CE16,$A$3:$A$45,1)+1),INDEX($A$3:$A$45,MATCH(CE16,$A$3:$A$45,1)):INDEX($A$3:$A$45,MATCH(CE16,$A$3:$A$45,1)+1))</f>
        <v>#N/A</v>
      </c>
      <c r="CG16" s="74" t="e">
        <f t="shared" si="13"/>
        <v>#N/A</v>
      </c>
      <c r="CH16" s="61">
        <f>SUM('FU Distribution'!BP78:$BP$109)</f>
        <v>0</v>
      </c>
      <c r="CI16" s="62" t="e">
        <f>FORECAST(CH16,INDEX($B$3:$B$45,MATCH(CH16,$A$3:$A$45,1)):INDEX($B$3:$B$45,MATCH(CH16,$A$3:$A$45,1)+1),INDEX($A$3:$A$45,MATCH(CH16,$A$3:$A$45,1)):INDEX($A$3:$A$45,MATCH(CH16,$A$3:$A$45,1)+1))</f>
        <v>#N/A</v>
      </c>
      <c r="CJ16" s="74" t="e">
        <f t="shared" si="14"/>
        <v>#N/A</v>
      </c>
    </row>
    <row r="17" spans="1:88" x14ac:dyDescent="0.25">
      <c r="A17" s="2">
        <v>130</v>
      </c>
      <c r="B17" s="2">
        <v>51</v>
      </c>
      <c r="C17" s="63"/>
      <c r="D17" s="52">
        <v>13</v>
      </c>
      <c r="E17" s="61">
        <f>SUM('FU Distribution'!AB79:$AB$109)+IF('FU Distribution'!$D$112=1,'FU Distribution'!$D$114,0)</f>
        <v>0</v>
      </c>
      <c r="F17" s="98" t="e">
        <f>FORECAST((SUM(E17:E1011)),INDEX($B$3:$B$45,MATCH((SUM(E17:E1011)),$A$3:$A$45,1)):INDEX($B$3:$B$45,MATCH((SUM(E17:E1011)),$A$3:$A$45,1)+1),INDEX($A$3:$A$45,MATCH((SUM(E17:E1011)),$A$3:$A$45,1)):INDEX($A$3:$A$45,MATCH((SUM(E17:E1011)),$A$3:$A$45,1)+1))</f>
        <v>#N/A</v>
      </c>
      <c r="G17" s="99" t="e">
        <f t="shared" si="37"/>
        <v>#N/A</v>
      </c>
      <c r="H17" s="61">
        <f>SUM('FU Distribution'!AC79:$AC$109)</f>
        <v>0</v>
      </c>
      <c r="I17" s="98" t="e">
        <f>FORECAST((SUM(H17:H1012)),INDEX($B$3:$B$45,MATCH((SUM(H17:H1012)),$A$3:$A$45,1)):INDEX($B$3:$B$45,MATCH((SUM(H17:H1012)),$A$3:$A$45,1)+1),INDEX($A$3:$A$45,MATCH((SUM(H17:H1012)),$A$3:$A$45,1)):INDEX($A$3:$A$45,MATCH((SUM(H17:H1012)),$A$3:$A$45,1)+1))</f>
        <v>#N/A</v>
      </c>
      <c r="J17" s="99" t="e">
        <f t="shared" si="38"/>
        <v>#N/A</v>
      </c>
      <c r="K17" s="75">
        <f>SUM('FU Distribution'!AE79:$AE$109)+IF('FU Distribution'!$D$112=2,'FU Distribution'!$D$114,0)</f>
        <v>0</v>
      </c>
      <c r="L17" s="100" t="e">
        <f>FORECAST((SUM(K17:K1012)),INDEX($B$3:$B$45,MATCH((SUM(K17:K1012)),$A$3:$A$45,1)):INDEX($B$3:$B$45,MATCH((SUM(K17:K1012)),$A$3:$A$45,1)+1),INDEX($A$3:$A$45,MATCH((SUM(K17:K1012)),$A$3:$A$45,1)):INDEX($A$3:$A$45,MATCH((SUM(K17:K1012)),$A$3:$A$45,1)+1))</f>
        <v>#N/A</v>
      </c>
      <c r="M17" s="101" t="e">
        <f t="shared" si="39"/>
        <v>#N/A</v>
      </c>
      <c r="N17" s="75">
        <f>SUM('FU Distribution'!AF79:$AF$109)</f>
        <v>0</v>
      </c>
      <c r="O17" s="100" t="e">
        <f>FORECAST((SUM(N17:N1012)),INDEX($B$3:$B$45,MATCH((SUM(N17:N1012)),$A$3:$A$45,1)):INDEX($B$3:$B$45,MATCH((SUM(N17:N1012)),$A$3:$A$45,1)+1),INDEX($A$3:$A$45,MATCH((SUM(N17:N1012)),$A$3:$A$45,1)):INDEX($A$3:$A$45,MATCH((SUM(N17:N1012)),$A$3:$A$45,1)+1))</f>
        <v>#N/A</v>
      </c>
      <c r="P17" s="101" t="e">
        <f t="shared" si="40"/>
        <v>#N/A</v>
      </c>
      <c r="Q17" s="61">
        <f>SUM('FU Distribution'!AH79:$AH$109)+IF('FU Distribution'!$D$112=3,'FU Distribution'!$D$114,0)</f>
        <v>0</v>
      </c>
      <c r="R17" s="98" t="e">
        <f>FORECAST((SUM(Q17:Q1012)),INDEX($B$3:$B$45,MATCH((SUM(Q17:Q1012)),$A$3:$A$45,1)):INDEX($B$3:$B$45,MATCH((SUM(Q17:Q1012)),$A$3:$A$45,1)+1),INDEX($A$3:$A$45,MATCH((SUM(Q17:Q1012)),$A$3:$A$45,1)):INDEX($A$3:$A$45,MATCH((SUM(Q17:Q1012)),$A$3:$A$45,1)+1))</f>
        <v>#N/A</v>
      </c>
      <c r="S17" s="99" t="e">
        <f t="shared" si="41"/>
        <v>#N/A</v>
      </c>
      <c r="T17" s="61">
        <f>SUM('FU Distribution'!AI79:$AI$109)</f>
        <v>0</v>
      </c>
      <c r="U17" s="98" t="e">
        <f>FORECAST((SUM(T17:T1012)),INDEX($B$3:$B$45,MATCH((SUM(T17:T1012)),$A$3:$A$45,1)):INDEX($B$3:$B$45,MATCH((SUM(T17:T1012)),$A$3:$A$45,1)+1),INDEX($A$3:$A$45,MATCH((SUM(T17:T1012)),$A$3:$A$45,1)):INDEX($A$3:$A$45,MATCH((SUM(T17:T1012)),$A$3:$A$45,1)+1))</f>
        <v>#N/A</v>
      </c>
      <c r="V17" s="99" t="e">
        <f t="shared" si="0"/>
        <v>#N/A</v>
      </c>
      <c r="W17" s="75">
        <f>SUM('FU Distribution'!AK79:$AK$109)+IF('FU Distribution'!$D$112=4,'FU Distribution'!$D$114,0)</f>
        <v>0</v>
      </c>
      <c r="X17" s="100" t="e">
        <f>FORECAST((SUM(W17:W1012)),INDEX($B$3:$B$45,MATCH((SUM(W17:W1012)),$A$3:$A$45,1)):INDEX($B$3:$B$45,MATCH((SUM(W17:W1012)),$A$3:$A$45,1)+1),INDEX($A$3:$A$45,MATCH((SUM(W17:W1012)),$A$3:$A$45,1)):INDEX($A$3:$A$45,MATCH((SUM(W17:W1012)),$A$3:$A$45,1)+1))</f>
        <v>#N/A</v>
      </c>
      <c r="Y17" s="101" t="e">
        <f t="shared" si="1"/>
        <v>#N/A</v>
      </c>
      <c r="Z17" s="75">
        <f>SUM('FU Distribution'!AL79:$AL$109)</f>
        <v>0</v>
      </c>
      <c r="AA17" s="100" t="e">
        <f>FORECAST((SUM(Z17:Z1012)),INDEX($B$3:$B$45,MATCH((SUM(Z17:Z1012)),$A$3:$A$45,1)):INDEX($B$3:$B$45,MATCH((SUM(Z17:Z1012)),$A$3:$A$45,1)+1),INDEX($A$3:$A$45,MATCH((SUM(Z17:Z1012)),$A$3:$A$45,1)):INDEX($A$3:$A$45,MATCH((SUM(Z17:Z1012)),$A$3:$A$45,1)+1))</f>
        <v>#N/A</v>
      </c>
      <c r="AB17" s="101" t="e">
        <f t="shared" si="42"/>
        <v>#N/A</v>
      </c>
      <c r="AC17" s="61">
        <f>SUM('FU Distribution'!AN79:$AN$109)+IF('FU Distribution'!$D$112=5,'FU Distribution'!$D$114,0)</f>
        <v>0</v>
      </c>
      <c r="AD17" s="98" t="e">
        <f>FORECAST((SUM(AC17:AC1012)),INDEX($B$3:$B$45,MATCH((SUM(AC17:AC1012)),$A$3:$A$45,1)):INDEX($B$3:$B$45,MATCH((SUM(AC17:AC1012)),$A$3:$A$45,1)+1),INDEX($A$3:$A$45,MATCH((SUM(AC17:AC1012)),$A$3:$A$45,1)):INDEX($A$3:$A$45,MATCH((SUM(AC17:AC1012)),$A$3:$A$45,1)+1))</f>
        <v>#N/A</v>
      </c>
      <c r="AE17" s="99" t="e">
        <f t="shared" si="43"/>
        <v>#N/A</v>
      </c>
      <c r="AF17" s="61">
        <f>SUM('FU Distribution'!AO79:$AO$109)</f>
        <v>0</v>
      </c>
      <c r="AG17" s="98" t="e">
        <f>FORECAST((SUM(AF17:AF1012)),INDEX($B$3:$B$45,MATCH((SUM(AF17:AF1012)),$A$3:$A$45,1)):INDEX($B$3:$B$45,MATCH((SUM(AF17:AF1012)),$A$3:$A$45,1)+1),INDEX($A$3:$A$45,MATCH((SUM(AF17:AF1012)),$A$3:$A$45,1)):INDEX($A$3:$A$45,MATCH((SUM(AF17:AF1012)),$A$3:$A$45,1)+1))</f>
        <v>#N/A</v>
      </c>
      <c r="AH17" s="99" t="e">
        <f t="shared" si="44"/>
        <v>#N/A</v>
      </c>
      <c r="AI17" s="75">
        <f>SUM('FU Distribution'!AQ79:$AQ$109)+IF('FU Distribution'!$D$112=6,'FU Distribution'!$D$114,0)</f>
        <v>0</v>
      </c>
      <c r="AJ17" s="100" t="e">
        <f>FORECAST((SUM(AI17:AI1012)),INDEX($B$3:$B$45,MATCH((SUM(AI17:AI1012)),$A$3:$A$45,1)):INDEX($B$3:$B$45,MATCH((SUM(AI17:AI1012)),$A$3:$A$45,1)+1),INDEX($A$3:$A$45,MATCH((SUM(AI17:AI1012)),$A$3:$A$45,1)):INDEX($A$3:$A$45,MATCH((SUM(AI17:AI1012)),$A$3:$A$45,1)+1))</f>
        <v>#N/A</v>
      </c>
      <c r="AK17" s="101" t="e">
        <f t="shared" si="45"/>
        <v>#N/A</v>
      </c>
      <c r="AL17" s="75">
        <f>SUM('FU Distribution'!AR79:$AR$109)</f>
        <v>0</v>
      </c>
      <c r="AM17" s="100" t="e">
        <f>FORECAST((SUM(AL17:AL1012)),INDEX($B$3:$B$45,MATCH((SUM(AL17:AL1012)),$A$3:$A$45,1)):INDEX($B$3:$B$45,MATCH((SUM(AL17:AL1012)),$A$3:$A$45,1)+1),INDEX($A$3:$A$45,MATCH((SUM(AL17:AL1012)),$A$3:$A$45,1)):INDEX($A$3:$A$45,MATCH((SUM(AL17:AL1012)),$A$3:$A$45,1)+1))</f>
        <v>#N/A</v>
      </c>
      <c r="AN17" s="101" t="e">
        <f t="shared" si="46"/>
        <v>#N/A</v>
      </c>
      <c r="AO17" s="61">
        <f>SUM('FU Distribution'!AT79:$AT$109)+IF('FU Distribution'!$D$112=7,'FU Distribution'!$D$114,0)</f>
        <v>0</v>
      </c>
      <c r="AP17" s="98" t="e">
        <f>FORECAST((SUM(AO17:AO1012)),INDEX($B$3:$B$45,MATCH((SUM(AO17:AO1012)),$A$3:$A$45,1)):INDEX($B$3:$B$45,MATCH((SUM(AO17:AO1012)),$A$3:$A$45,1)+1),INDEX($A$3:$A$45,MATCH((SUM(AO17:AO1012)),$A$3:$A$45,1)):INDEX($A$3:$A$45,MATCH((SUM(AO17:AO1012)),$A$3:$A$45,1)+1))</f>
        <v>#N/A</v>
      </c>
      <c r="AQ17" s="99" t="e">
        <f t="shared" si="47"/>
        <v>#N/A</v>
      </c>
      <c r="AR17" s="61">
        <f>SUM('FU Distribution'!AU79:$AU$109)</f>
        <v>0</v>
      </c>
      <c r="AS17" s="98" t="e">
        <f>FORECAST((SUM(AR17:AR1012)),INDEX($B$3:$B$45,MATCH((SUM(AR17:AR1012)),$A$3:$A$45,1)):INDEX($B$3:$B$45,MATCH((SUM(AR17:AR1012)),$A$3:$A$45,1)+1),INDEX($A$3:$A$45,MATCH((SUM(AR17:AR1012)),$A$3:$A$45,1)):INDEX($A$3:$A$45,MATCH((SUM(AR17:AR1012)),$A$3:$A$45,1)+1))</f>
        <v>#N/A</v>
      </c>
      <c r="AT17" s="99" t="e">
        <f t="shared" si="48"/>
        <v>#N/A</v>
      </c>
      <c r="AU17" s="61">
        <f>SUM('FU Distribution'!AW79:$AW$109)+IF('FU Distribution'!$D$112=8,'FU Distribution'!$D$114,0)</f>
        <v>0</v>
      </c>
      <c r="AV17" s="98" t="e">
        <f>FORECAST(AU17,INDEX($B$3:$B$45,MATCH(AU17,$A$3:$A$45,1)):INDEX($B$3:$B$45,MATCH(AU17,$A$3:$A$45,1)+1),INDEX($A$3:$A$45,MATCH(AU17,$A$3:$A$45,1)):INDEX($A$3:$A$45,MATCH(AU17,$A$3:$A$45,1)+1))</f>
        <v>#N/A</v>
      </c>
      <c r="AW17" s="99" t="e">
        <f t="shared" si="49"/>
        <v>#N/A</v>
      </c>
      <c r="AX17" s="61">
        <f>SUM('FU Distribution'!AX79:$AX$109)</f>
        <v>0</v>
      </c>
      <c r="AY17" s="98" t="e">
        <f>FORECAST(AX17,INDEX($B$3:$B$45,MATCH(AX17,$A$3:$A$45,1)):INDEX($B$3:$B$45,MATCH(AX17,$A$3:$A$45,1)+1),INDEX($A$3:$A$45,MATCH(AX17,$A$3:$A$45,1)):INDEX($A$3:$A$45,MATCH(AX17,$A$3:$A$45,1)+1))</f>
        <v>#N/A</v>
      </c>
      <c r="AZ17" s="99" t="e">
        <f t="shared" si="50"/>
        <v>#N/A</v>
      </c>
      <c r="BA17" s="75">
        <f>SUM('FU Distribution'!AZ79:$AZ$109)+IF('FU Distribution'!$D$112=9,'FU Distribution'!$D$114,0)</f>
        <v>0</v>
      </c>
      <c r="BB17" s="76" t="e">
        <f>FORECAST((SUM(BA17:BA1012)),INDEX($B$3:$B$45,MATCH((SUM(BA17:BA1012)),$A$3:$A$45,1)):INDEX($B$3:$B$45,MATCH((SUM(BA17:BA1012)),$A$3:$A$45,1)+1),INDEX($A$3:$A$45,MATCH((SUM(BA17:BA1012)),$A$3:$A$45,1)):INDEX($A$3:$A$45,MATCH((SUM(BA17:BA1012)),$A$3:$A$45,1)+1))</f>
        <v>#N/A</v>
      </c>
      <c r="BC17" s="77" t="e">
        <f t="shared" si="3"/>
        <v>#N/A</v>
      </c>
      <c r="BD17" s="75">
        <f>SUM('FU Distribution'!BA79:$BA$109)</f>
        <v>0</v>
      </c>
      <c r="BE17" s="76" t="e">
        <f>FORECAST((SUM(BD17:BD1012)),INDEX($B$3:$B$45,MATCH((SUM(BD17:BD1012)),$A$3:$A$45,1)):INDEX($B$3:$B$45,MATCH((SUM(BD17:BD1012)),$A$3:$A$45,1)+1),INDEX($A$3:$A$45,MATCH((SUM(BD17:BD1012)),$A$3:$A$45,1)):INDEX($A$3:$A$45,MATCH((SUM(BD17:BD1012)),$A$3:$A$45,1)+1))</f>
        <v>#N/A</v>
      </c>
      <c r="BF17" s="77" t="e">
        <f t="shared" si="4"/>
        <v>#N/A</v>
      </c>
      <c r="BG17" s="61">
        <f>SUM('FU Distribution'!BC79:$BC$109)+IF('FU Distribution'!$D$112=10,'FU Distribution'!$D$114,0)</f>
        <v>0</v>
      </c>
      <c r="BH17" s="62" t="e">
        <f>FORECAST((SUM(BG17:BG1012)),INDEX($B$3:$B$45,MATCH((SUM(BG17:BG1012)),$A$3:$A$45,1)):INDEX($B$3:$B$45,MATCH((SUM(BG17:BG1012)),$A$3:$A$45,1)+1),INDEX($A$3:$A$45,MATCH((SUM(BG17:BG1012)),$A$3:$A$45,1)):INDEX($A$3:$A$45,MATCH((SUM(BG17:BG1012)),$A$3:$A$45,1)+1))</f>
        <v>#N/A</v>
      </c>
      <c r="BI17" s="74" t="e">
        <f t="shared" si="5"/>
        <v>#N/A</v>
      </c>
      <c r="BJ17" s="61">
        <f>SUM('FU Distribution'!BD79:$BD$109)</f>
        <v>0</v>
      </c>
      <c r="BK17" s="62" t="e">
        <f>FORECAST((SUM(BJ17:BJ1012)),INDEX($B$3:$B$45,MATCH((SUM(BJ17:BJ1012)),$A$3:$A$45,1)):INDEX($B$3:$B$45,MATCH((SUM(BJ17:BJ1012)),$A$3:$A$45,1)+1),INDEX($A$3:$A$45,MATCH((SUM(BJ17:BJ1012)),$A$3:$A$45,1)):INDEX($A$3:$A$45,MATCH((SUM(BJ17:BJ1012)),$A$3:$A$45,1)+1))</f>
        <v>#N/A</v>
      </c>
      <c r="BL17" s="74" t="e">
        <f t="shared" si="6"/>
        <v>#N/A</v>
      </c>
      <c r="BM17" s="75">
        <f>SUM('FU Distribution'!BF79:$BF$109)+IF('FU Distribution'!$D$112=11,'FU Distribution'!$D$114,0)</f>
        <v>0</v>
      </c>
      <c r="BN17" s="76" t="e">
        <f>FORECAST((SUM(BM17:BM1012)),INDEX($B$3:$B$45,MATCH((SUM(BM17:BM1012)),$A$3:$A$45,1)):INDEX($B$3:$B$45,MATCH((SUM(BM17:BM1012)),$A$3:$A$45,1)+1),INDEX($A$3:$A$45,MATCH((SUM(BM17:BM1012)),$A$3:$A$45,1)):INDEX($A$3:$A$45,MATCH((SUM(BM17:BM1012)),$A$3:$A$45,1)+1))</f>
        <v>#N/A</v>
      </c>
      <c r="BO17" s="77" t="e">
        <f t="shared" si="7"/>
        <v>#N/A</v>
      </c>
      <c r="BP17" s="75">
        <f>SUM('FU Distribution'!BG79:$BG$109)</f>
        <v>0</v>
      </c>
      <c r="BQ17" s="76" t="e">
        <f>FORECAST((SUM(BP17:BP1012)),INDEX($B$3:$B$45,MATCH((SUM(BP17:BP1012)),$A$3:$A$45,1)):INDEX($B$3:$B$45,MATCH((SUM(BP17:BP1012)),$A$3:$A$45,1)+1),INDEX($A$3:$A$45,MATCH((SUM(BP17:BP1012)),$A$3:$A$45,1)):INDEX($A$3:$A$45,MATCH((SUM(BP17:BP1012)),$A$3:$A$45,1)+1))</f>
        <v>#N/A</v>
      </c>
      <c r="BR17" s="77" t="e">
        <f t="shared" si="8"/>
        <v>#N/A</v>
      </c>
      <c r="BS17" s="61">
        <f>SUM('FU Distribution'!BI79:$BI$109)+IF('FU Distribution'!$D$112=12,'FU Distribution'!$D$114,0)</f>
        <v>0</v>
      </c>
      <c r="BT17" s="62" t="e">
        <f>FORECAST(BS17,INDEX($B$3:$B$45,MATCH(BS17,$A$3:$A$45,1)):INDEX($B$3:$B$45,MATCH(BS17,$A$3:$A$45,1)+1),INDEX($A$3:$A$45,MATCH(BS17,$A$3:$A$45,1)):INDEX($A$3:$A$45,MATCH(BS17,$A$3:$A$45,1)+1))</f>
        <v>#N/A</v>
      </c>
      <c r="BU17" s="74" t="e">
        <f t="shared" si="9"/>
        <v>#N/A</v>
      </c>
      <c r="BV17" s="61">
        <f>SUM('FU Distribution'!BJ79:$BJ$109)</f>
        <v>0</v>
      </c>
      <c r="BW17" s="62" t="e">
        <f>FORECAST(BV17,INDEX($B$3:$B$45,MATCH(BV17,$A$3:$A$45,1)):INDEX($B$3:$B$45,MATCH(BV17,$A$3:$A$45,1)+1),INDEX($A$3:$A$45,MATCH(BV17,$A$3:$A$45,1)):INDEX($A$3:$A$45,MATCH(BV17,$A$3:$A$45,1)+1))</f>
        <v>#N/A</v>
      </c>
      <c r="BX17" s="74" t="e">
        <f t="shared" si="10"/>
        <v>#N/A</v>
      </c>
      <c r="BY17" s="75">
        <f>SUM('FU Distribution'!BL79:$BL$109)+IF('FU Distribution'!$D$112=13,'FU Distribution'!$D$114,0)</f>
        <v>0</v>
      </c>
      <c r="BZ17" s="76" t="e">
        <f>FORECAST(BY17,INDEX($B$3:$B$45,MATCH(BY17,$A$3:$A$45,1)):INDEX($B$3:$B$45,MATCH(BY17,$A$3:$A$45,1)+1),INDEX($A$3:$A$45,MATCH(BY17,$A$3:$A$45,1)):INDEX($A$3:$A$45,MATCH(BY17,$A$3:$A$45,1)+1))</f>
        <v>#N/A</v>
      </c>
      <c r="CA17" s="77" t="e">
        <f t="shared" si="11"/>
        <v>#N/A</v>
      </c>
      <c r="CB17" s="75">
        <f>SUM('FU Distribution'!BM79:$BM$109)</f>
        <v>0</v>
      </c>
      <c r="CC17" s="76" t="e">
        <f>FORECAST(CB17,INDEX($B$3:$B$45,MATCH(CB17,$A$3:$A$45,1)):INDEX($B$3:$B$45,MATCH(CB17,$A$3:$A$45,1)+1),INDEX($A$3:$A$45,MATCH(CB17,$A$3:$A$45,1)):INDEX($A$3:$A$45,MATCH(CB17,$A$3:$A$45,1)+1))</f>
        <v>#N/A</v>
      </c>
      <c r="CD17" s="77" t="e">
        <f t="shared" si="12"/>
        <v>#N/A</v>
      </c>
      <c r="CE17" s="61">
        <f>SUM('FU Distribution'!BO79:$BO$109)+IF('FU Distribution'!$D$112=13,'FU Distribution'!$D$114,0)</f>
        <v>0</v>
      </c>
      <c r="CF17" s="62" t="e">
        <f>FORECAST(CE17,INDEX($B$3:$B$45,MATCH(CE17,$A$3:$A$45,1)):INDEX($B$3:$B$45,MATCH(CE17,$A$3:$A$45,1)+1),INDEX($A$3:$A$45,MATCH(CE17,$A$3:$A$45,1)):INDEX($A$3:$A$45,MATCH(CE17,$A$3:$A$45,1)+1))</f>
        <v>#N/A</v>
      </c>
      <c r="CG17" s="74" t="e">
        <f t="shared" si="13"/>
        <v>#N/A</v>
      </c>
      <c r="CH17" s="61">
        <f>SUM('FU Distribution'!BP79:$BP$109)</f>
        <v>0</v>
      </c>
      <c r="CI17" s="62" t="e">
        <f>FORECAST(CH17,INDEX($B$3:$B$45,MATCH(CH17,$A$3:$A$45,1)):INDEX($B$3:$B$45,MATCH(CH17,$A$3:$A$45,1)+1),INDEX($A$3:$A$45,MATCH(CH17,$A$3:$A$45,1)):INDEX($A$3:$A$45,MATCH(CH17,$A$3:$A$45,1)+1))</f>
        <v>#N/A</v>
      </c>
      <c r="CJ17" s="74" t="e">
        <f t="shared" si="14"/>
        <v>#N/A</v>
      </c>
    </row>
    <row r="18" spans="1:88" x14ac:dyDescent="0.25">
      <c r="A18" s="2">
        <v>140</v>
      </c>
      <c r="B18" s="2">
        <v>53</v>
      </c>
      <c r="C18" s="63"/>
      <c r="D18" s="52">
        <v>14</v>
      </c>
      <c r="E18" s="61">
        <f>SUM('FU Distribution'!AB80:$AB$109)+IF('FU Distribution'!$D$112=1,'FU Distribution'!$D$114,0)</f>
        <v>0</v>
      </c>
      <c r="F18" s="96" t="e">
        <f>FORECAST((SUM(E18:E1013)),INDEX($B$3:$B$45,MATCH((SUM(E18:E1013)),$A$3:$A$45,1)):INDEX($B$3:$B$45,MATCH((SUM(E18:E1013)),$A$3:$A$45,1)+1),INDEX($A$3:$A$45,MATCH((SUM(E18:E1013)),$A$3:$A$45,1)):INDEX($A$3:$A$45,MATCH((SUM(E18:E1013)),$A$3:$A$45,1)+1))</f>
        <v>#N/A</v>
      </c>
      <c r="G18" s="97" t="e">
        <f t="shared" ref="G18:G22" si="51">IF(AND(F18&lt;=750,F18&gt;250),6,IF(AND(F18&lt;=250,F18&gt;120),4,IF(AND(F18&lt;=120,F18&gt;75),3,IF(AND(F18&lt;=75,F18&gt;40),2.5,IF(AND(F18&lt;=40,F18&gt;20),2,IF(AND(F18&lt;=20,F18&gt;14),1.5,IF(AND(F18&lt;=14,F18&gt;7),1.25,IF(AND(F18&lt;=7,F18&gt;3.5),1,IF(AND(F18&lt;=3.5,F18&gt;1.7),0.75,IF(AND(F18&lt;=1.7,F18&gt;0),0.5))))))))))</f>
        <v>#N/A</v>
      </c>
      <c r="H18" s="61">
        <f>SUM('FU Distribution'!AC80:$AC$109)</f>
        <v>0</v>
      </c>
      <c r="I18" s="96" t="e">
        <f>FORECAST((SUM(H18:H1013)),INDEX($B$3:$B$45,MATCH((SUM(H18:H1013)),$A$3:$A$45,1)):INDEX($B$3:$B$45,MATCH((SUM(H18:H1013)),$A$3:$A$45,1)+1),INDEX($A$3:$A$45,MATCH((SUM(H18:H1013)),$A$3:$A$45,1)):INDEX($A$3:$A$45,MATCH((SUM(H18:H1013)),$A$3:$A$45,1)+1))</f>
        <v>#N/A</v>
      </c>
      <c r="J18" s="97" t="e">
        <f t="shared" ref="J18:J22" si="52">IF(AND(I18&lt;=750,I18&gt;250),6,IF(AND(I18&lt;=250,I18&gt;120),4,IF(AND(I18&lt;=120,I18&gt;75),3,IF(AND(I18&lt;=75,I18&gt;40),2.5,IF(AND(I18&lt;=40,I18&gt;20),2,IF(AND(I18&lt;=20,I18&gt;14),1.5,IF(AND(I18&lt;=14,I18&gt;7),1.25,IF(AND(I18&lt;=7,I18&gt;3.5),1,IF(AND(I18&lt;=3.5,I18&gt;1.7),0.75,IF(AND(I18&lt;=1.7,I18&gt;0),0.5))))))))))</f>
        <v>#N/A</v>
      </c>
      <c r="K18" s="75">
        <f>SUM('FU Distribution'!AE80:$AE$109)+IF('FU Distribution'!$D$112=2,'FU Distribution'!$D$114,0)</f>
        <v>0</v>
      </c>
      <c r="L18" s="96" t="e">
        <f>FORECAST((SUM(K18:K1013)),INDEX($B$3:$B$45,MATCH((SUM(K18:K1013)),$A$3:$A$45,1)):INDEX($B$3:$B$45,MATCH((SUM(K18:K1013)),$A$3:$A$45,1)+1),INDEX($A$3:$A$45,MATCH((SUM(K18:K1013)),$A$3:$A$45,1)):INDEX($A$3:$A$45,MATCH((SUM(K18:K1013)),$A$3:$A$45,1)+1))</f>
        <v>#N/A</v>
      </c>
      <c r="M18" s="97" t="e">
        <f t="shared" ref="M18:M22" si="53">IF(AND(L18&lt;=750,L18&gt;250),6,IF(AND(L18&lt;=250,L18&gt;120),4,IF(AND(L18&lt;=120,L18&gt;75),3,IF(AND(L18&lt;=75,L18&gt;40),2.5,IF(AND(L18&lt;=40,L18&gt;20),2,IF(AND(L18&lt;=20,L18&gt;14),1.5,IF(AND(L18&lt;=14,L18&gt;7),1.25,IF(AND(L18&lt;=7,L18&gt;3.5),1,IF(AND(L18&lt;=3.5,L18&gt;1.7),0.75,IF(AND(L18&lt;=1.7,L18&gt;0),0.5))))))))))</f>
        <v>#N/A</v>
      </c>
      <c r="N18" s="75">
        <f>SUM('FU Distribution'!AF80:$AF$109)</f>
        <v>0</v>
      </c>
      <c r="O18" s="96" t="e">
        <f>FORECAST((SUM(N18:N1013)),INDEX($B$3:$B$45,MATCH((SUM(N18:N1013)),$A$3:$A$45,1)):INDEX($B$3:$B$45,MATCH((SUM(N18:N1013)),$A$3:$A$45,1)+1),INDEX($A$3:$A$45,MATCH((SUM(N18:N1013)),$A$3:$A$45,1)):INDEX($A$3:$A$45,MATCH((SUM(N18:N1013)),$A$3:$A$45,1)+1))</f>
        <v>#N/A</v>
      </c>
      <c r="P18" s="97" t="e">
        <f t="shared" ref="P18:P22" si="54">IF(AND(O18&lt;=750,O18&gt;250),6,IF(AND(O18&lt;=250,O18&gt;120),4,IF(AND(O18&lt;=120,O18&gt;75),3,IF(AND(O18&lt;=75,O18&gt;40),2.5,IF(AND(O18&lt;=40,O18&gt;20),2,IF(AND(O18&lt;=20,O18&gt;14),1.5,IF(AND(O18&lt;=14,O18&gt;7),1.25,IF(AND(O18&lt;=7,O18&gt;3.5),1,IF(AND(O18&lt;=3.5,O18&gt;1.7),0.75,IF(AND(O18&lt;=1.7,O18&gt;0),0.5))))))))))</f>
        <v>#N/A</v>
      </c>
      <c r="Q18" s="61">
        <f>SUM('FU Distribution'!AH80:$AH$109)+IF('FU Distribution'!$D$112=3,'FU Distribution'!$D$114,0)</f>
        <v>0</v>
      </c>
      <c r="R18" s="96" t="e">
        <f>FORECAST((SUM(Q18:Q1013)),INDEX($B$3:$B$45,MATCH((SUM(Q18:Q1013)),$A$3:$A$45,1)):INDEX($B$3:$B$45,MATCH((SUM(Q18:Q1013)),$A$3:$A$45,1)+1),INDEX($A$3:$A$45,MATCH((SUM(Q18:Q1013)),$A$3:$A$45,1)):INDEX($A$3:$A$45,MATCH((SUM(Q18:Q1013)),$A$3:$A$45,1)+1))</f>
        <v>#N/A</v>
      </c>
      <c r="S18" s="97" t="e">
        <f t="shared" ref="S18:S22" si="55">IF(AND(R18&lt;=750,R18&gt;250),6,IF(AND(R18&lt;=250,R18&gt;120),4,IF(AND(R18&lt;=120,R18&gt;75),3,IF(AND(R18&lt;=75,R18&gt;40),2.5,IF(AND(R18&lt;=40,R18&gt;20),2,IF(AND(R18&lt;=20,R18&gt;14),1.5,IF(AND(R18&lt;=14,R18&gt;7),1.25,IF(AND(R18&lt;=7,R18&gt;3.5),1,IF(AND(R18&lt;=3.5,R18&gt;1.7),0.75,IF(AND(R18&lt;=1.7,R18&gt;0),0.5))))))))))</f>
        <v>#N/A</v>
      </c>
      <c r="T18" s="61">
        <f>SUM('FU Distribution'!AI80:$AI$109)</f>
        <v>0</v>
      </c>
      <c r="U18" s="96" t="e">
        <f>FORECAST((SUM(T18:T1013)),INDEX($B$3:$B$45,MATCH((SUM(T18:T1013)),$A$3:$A$45,1)):INDEX($B$3:$B$45,MATCH((SUM(T18:T1013)),$A$3:$A$45,1)+1),INDEX($A$3:$A$45,MATCH((SUM(T18:T1013)),$A$3:$A$45,1)):INDEX($A$3:$A$45,MATCH((SUM(T18:T1013)),$A$3:$A$45,1)+1))</f>
        <v>#N/A</v>
      </c>
      <c r="V18" s="97" t="e">
        <f t="shared" si="0"/>
        <v>#N/A</v>
      </c>
      <c r="W18" s="75">
        <f>SUM('FU Distribution'!AK80:$AK$109)+IF('FU Distribution'!$D$112=4,'FU Distribution'!$D$114,0)</f>
        <v>0</v>
      </c>
      <c r="X18" s="96" t="e">
        <f>FORECAST((SUM(W18:W1013)),INDEX($B$3:$B$45,MATCH((SUM(W18:W1013)),$A$3:$A$45,1)):INDEX($B$3:$B$45,MATCH((SUM(W18:W1013)),$A$3:$A$45,1)+1),INDEX($A$3:$A$45,MATCH((SUM(W18:W1013)),$A$3:$A$45,1)):INDEX($A$3:$A$45,MATCH((SUM(W18:W1013)),$A$3:$A$45,1)+1))</f>
        <v>#N/A</v>
      </c>
      <c r="Y18" s="97" t="e">
        <f t="shared" si="1"/>
        <v>#N/A</v>
      </c>
      <c r="Z18" s="75">
        <f>SUM('FU Distribution'!AL80:$AL$109)</f>
        <v>0</v>
      </c>
      <c r="AA18" s="96" t="e">
        <f>FORECAST((SUM(Z18:Z1013)),INDEX($B$3:$B$45,MATCH((SUM(Z18:Z1013)),$A$3:$A$45,1)):INDEX($B$3:$B$45,MATCH((SUM(Z18:Z1013)),$A$3:$A$45,1)+1),INDEX($A$3:$A$45,MATCH((SUM(Z18:Z1013)),$A$3:$A$45,1)):INDEX($A$3:$A$45,MATCH((SUM(Z18:Z1013)),$A$3:$A$45,1)+1))</f>
        <v>#N/A</v>
      </c>
      <c r="AB18" s="97" t="e">
        <f t="shared" ref="AB18:AB22" si="56">IF(AND(AA18&lt;=750,AA18&gt;250),6,IF(AND(AA18&lt;=250,AA18&gt;120),4,IF(AND(AA18&lt;=120,AA18&gt;75),3,IF(AND(AA18&lt;=75,AA18&gt;40),2.5,IF(AND(AA18&lt;=40,AA18&gt;20),2,IF(AND(AA18&lt;=20,AA18&gt;14),1.5,IF(AND(AA18&lt;=14,AA18&gt;7),1.25,IF(AND(AA18&lt;=7,AA18&gt;3.5),1,IF(AND(AA18&lt;=3.5,AA18&gt;1.7),0.75,IF(AND(AA18&lt;=1.7,AA18&gt;0),0.5))))))))))</f>
        <v>#N/A</v>
      </c>
      <c r="AC18" s="61">
        <f>SUM('FU Distribution'!AN80:$AN$109)+IF('FU Distribution'!$D$112=5,'FU Distribution'!$D$114,0)</f>
        <v>0</v>
      </c>
      <c r="AD18" s="96" t="e">
        <f>FORECAST((SUM(AC18:AC1013)),INDEX($B$3:$B$45,MATCH((SUM(AC18:AC1013)),$A$3:$A$45,1)):INDEX($B$3:$B$45,MATCH((SUM(AC18:AC1013)),$A$3:$A$45,1)+1),INDEX($A$3:$A$45,MATCH((SUM(AC18:AC1013)),$A$3:$A$45,1)):INDEX($A$3:$A$45,MATCH((SUM(AC18:AC1013)),$A$3:$A$45,1)+1))</f>
        <v>#N/A</v>
      </c>
      <c r="AE18" s="97" t="e">
        <f t="shared" ref="AE18:AE22" si="57">IF(AND(AD18&lt;=750,AD18&gt;250),6,IF(AND(AD18&lt;=250,AD18&gt;120),4,IF(AND(AD18&lt;=120,AD18&gt;75),3,IF(AND(AD18&lt;=75,AD18&gt;40),2.5,IF(AND(AD18&lt;=40,AD18&gt;20),2,IF(AND(AD18&lt;=20,AD18&gt;14),1.5,IF(AND(AD18&lt;=14,AD18&gt;7),1.25,IF(AND(AD18&lt;=7,AD18&gt;3.5),1,IF(AND(AD18&lt;=3.5,AD18&gt;1.7),0.75,IF(AND(AD18&lt;=1.7,AD18&gt;0),0.5))))))))))</f>
        <v>#N/A</v>
      </c>
      <c r="AF18" s="61">
        <f>SUM('FU Distribution'!AO80:$AO$109)</f>
        <v>0</v>
      </c>
      <c r="AG18" s="96" t="e">
        <f>FORECAST((SUM(AF18:AF1013)),INDEX($B$3:$B$45,MATCH((SUM(AF18:AF1013)),$A$3:$A$45,1)):INDEX($B$3:$B$45,MATCH((SUM(AF18:AF1013)),$A$3:$A$45,1)+1),INDEX($A$3:$A$45,MATCH((SUM(AF18:AF1013)),$A$3:$A$45,1)):INDEX($A$3:$A$45,MATCH((SUM(AF18:AF1013)),$A$3:$A$45,1)+1))</f>
        <v>#N/A</v>
      </c>
      <c r="AH18" s="97" t="e">
        <f t="shared" ref="AH18:AH22" si="58">IF(AND(AG18&lt;=750,AG18&gt;250),6,IF(AND(AG18&lt;=250,AG18&gt;120),4,IF(AND(AG18&lt;=120,AG18&gt;75),3,IF(AND(AG18&lt;=75,AG18&gt;40),2.5,IF(AND(AG18&lt;=40,AG18&gt;20),2,IF(AND(AG18&lt;=20,AG18&gt;14),1.5,IF(AND(AG18&lt;=14,AG18&gt;7),1.25,IF(AND(AG18&lt;=7,AG18&gt;3.5),1,IF(AND(AG18&lt;=3.5,AG18&gt;1.7),0.75,IF(AND(AG18&lt;=1.7,AG18&gt;0),0.5))))))))))</f>
        <v>#N/A</v>
      </c>
      <c r="AI18" s="75">
        <f>SUM('FU Distribution'!AQ80:$AQ$109)+IF('FU Distribution'!$D$112=6,'FU Distribution'!$D$114,0)</f>
        <v>0</v>
      </c>
      <c r="AJ18" s="96" t="e">
        <f>FORECAST((SUM(AI18:AI1013)),INDEX($B$3:$B$45,MATCH((SUM(AI18:AI1013)),$A$3:$A$45,1)):INDEX($B$3:$B$45,MATCH((SUM(AI18:AI1013)),$A$3:$A$45,1)+1),INDEX($A$3:$A$45,MATCH((SUM(AI18:AI1013)),$A$3:$A$45,1)):INDEX($A$3:$A$45,MATCH((SUM(AI18:AI1013)),$A$3:$A$45,1)+1))</f>
        <v>#N/A</v>
      </c>
      <c r="AK18" s="97" t="e">
        <f t="shared" ref="AK18:AK22" si="59">IF(AND(AJ18&lt;=750,AJ18&gt;250),6,IF(AND(AJ18&lt;=250,AJ18&gt;120),4,IF(AND(AJ18&lt;=120,AJ18&gt;75),3,IF(AND(AJ18&lt;=75,AJ18&gt;40),2.5,IF(AND(AJ18&lt;=40,AJ18&gt;20),2,IF(AND(AJ18&lt;=20,AJ18&gt;14),1.5,IF(AND(AJ18&lt;=14,AJ18&gt;7),1.25,IF(AND(AJ18&lt;=7,AJ18&gt;3.5),1,IF(AND(AJ18&lt;=3.5,AJ18&gt;1.7),0.75,IF(AND(AJ18&lt;=1.7,AJ18&gt;0),0.5))))))))))</f>
        <v>#N/A</v>
      </c>
      <c r="AL18" s="75">
        <f>SUM('FU Distribution'!AR80:$AR$109)</f>
        <v>0</v>
      </c>
      <c r="AM18" s="96" t="e">
        <f>FORECAST((SUM(AL18:AL1013)),INDEX($B$3:$B$45,MATCH((SUM(AL18:AL1013)),$A$3:$A$45,1)):INDEX($B$3:$B$45,MATCH((SUM(AL18:AL1013)),$A$3:$A$45,1)+1),INDEX($A$3:$A$45,MATCH((SUM(AL18:AL1013)),$A$3:$A$45,1)):INDEX($A$3:$A$45,MATCH((SUM(AL18:AL1013)),$A$3:$A$45,1)+1))</f>
        <v>#N/A</v>
      </c>
      <c r="AN18" s="97" t="e">
        <f t="shared" ref="AN18:AN22" si="60">IF(AND(AM18&lt;=750,AM18&gt;250),6,IF(AND(AM18&lt;=250,AM18&gt;120),4,IF(AND(AM18&lt;=120,AM18&gt;75),3,IF(AND(AM18&lt;=75,AM18&gt;40),2.5,IF(AND(AM18&lt;=40,AM18&gt;20),2,IF(AND(AM18&lt;=20,AM18&gt;14),1.5,IF(AND(AM18&lt;=14,AM18&gt;7),1.25,IF(AND(AM18&lt;=7,AM18&gt;3.5),1,IF(AND(AM18&lt;=3.5,AM18&gt;1.7),0.75,IF(AND(AM18&lt;=1.7,AM18&gt;0),0.5))))))))))</f>
        <v>#N/A</v>
      </c>
      <c r="AO18" s="61">
        <f>SUM('FU Distribution'!AT80:$AT$109)+IF('FU Distribution'!$D$112=7,'FU Distribution'!$D$114,0)</f>
        <v>0</v>
      </c>
      <c r="AP18" s="96" t="e">
        <f>FORECAST((SUM(AO18:AO1013)),INDEX($B$3:$B$45,MATCH((SUM(AO18:AO1013)),$A$3:$A$45,1)):INDEX($B$3:$B$45,MATCH((SUM(AO18:AO1013)),$A$3:$A$45,1)+1),INDEX($A$3:$A$45,MATCH((SUM(AO18:AO1013)),$A$3:$A$45,1)):INDEX($A$3:$A$45,MATCH((SUM(AO18:AO1013)),$A$3:$A$45,1)+1))</f>
        <v>#N/A</v>
      </c>
      <c r="AQ18" s="97" t="e">
        <f t="shared" ref="AQ18:AQ22" si="61">IF(AND(AP18&lt;=750,AP18&gt;250),6,IF(AND(AP18&lt;=250,AP18&gt;120),4,IF(AND(AP18&lt;=120,AP18&gt;75),3,IF(AND(AP18&lt;=75,AP18&gt;40),2.5,IF(AND(AP18&lt;=40,AP18&gt;20),2,IF(AND(AP18&lt;=20,AP18&gt;14),1.5,IF(AND(AP18&lt;=14,AP18&gt;7),1.25,IF(AND(AP18&lt;=7,AP18&gt;3.5),1,IF(AND(AP18&lt;=3.5,AP18&gt;1.7),0.75,IF(AND(AP18&lt;=1.7,AP18&gt;0),0.5))))))))))</f>
        <v>#N/A</v>
      </c>
      <c r="AR18" s="61">
        <f>SUM('FU Distribution'!AU80:$AU$109)</f>
        <v>0</v>
      </c>
      <c r="AS18" s="96" t="e">
        <f>FORECAST((SUM(AR18:AR1013)),INDEX($B$3:$B$45,MATCH((SUM(AR18:AR1013)),$A$3:$A$45,1)):INDEX($B$3:$B$45,MATCH((SUM(AR18:AR1013)),$A$3:$A$45,1)+1),INDEX($A$3:$A$45,MATCH((SUM(AR18:AR1013)),$A$3:$A$45,1)):INDEX($A$3:$A$45,MATCH((SUM(AR18:AR1013)),$A$3:$A$45,1)+1))</f>
        <v>#N/A</v>
      </c>
      <c r="AT18" s="97" t="e">
        <f t="shared" ref="AT18:AT22" si="62">IF(AND(AS18&lt;=750,AS18&gt;250),6,IF(AND(AS18&lt;=250,AS18&gt;120),4,IF(AND(AS18&lt;=120,AS18&gt;75),3,IF(AND(AS18&lt;=75,AS18&gt;40),2.5,IF(AND(AS18&lt;=40,AS18&gt;20),2,IF(AND(AS18&lt;=20,AS18&gt;14),1.5,IF(AND(AS18&lt;=14,AS18&gt;7),1.25,IF(AND(AS18&lt;=7,AS18&gt;3.5),1,IF(AND(AS18&lt;=3.5,AS18&gt;1.7),0.75,IF(AND(AS18&lt;=1.7,AS18&gt;0),0.5))))))))))</f>
        <v>#N/A</v>
      </c>
      <c r="AU18" s="61">
        <f>SUM('FU Distribution'!AW80:$AW$109)+IF('FU Distribution'!$D$112=8,'FU Distribution'!$D$114,0)</f>
        <v>0</v>
      </c>
      <c r="AV18" s="98" t="e">
        <f>FORECAST(AU18,INDEX($B$3:$B$45,MATCH(AU18,$A$3:$A$45,1)):INDEX($B$3:$B$45,MATCH(AU18,$A$3:$A$45,1)+1),INDEX($A$3:$A$45,MATCH(AU18,$A$3:$A$45,1)):INDEX($A$3:$A$45,MATCH(AU18,$A$3:$A$45,1)+1))</f>
        <v>#N/A</v>
      </c>
      <c r="AW18" s="97" t="e">
        <f t="shared" ref="AW18:AW22" si="63">IF(AND(AV18&lt;=750,AV18&gt;250),6,IF(AND(AV18&lt;=250,AV18&gt;120),4,IF(AND(AV18&lt;=120,AV18&gt;75),3,IF(AND(AV18&lt;=75,AV18&gt;40),2.5,IF(AND(AV18&lt;=40,AV18&gt;20),2,IF(AND(AV18&lt;=20,AV18&gt;14),1.5,IF(AND(AV18&lt;=14,AV18&gt;7),1.25,IF(AND(AV18&lt;=7,AV18&gt;3.5),1,IF(AND(AV18&lt;=3.5,AV18&gt;1.7),0.75,IF(AND(AV18&lt;=1.7,AV18&gt;0),0.5))))))))))</f>
        <v>#N/A</v>
      </c>
      <c r="AX18" s="61">
        <f>SUM('FU Distribution'!AX80:$AX$109)</f>
        <v>0</v>
      </c>
      <c r="AY18" s="98" t="e">
        <f>FORECAST(AX18,INDEX($B$3:$B$45,MATCH(AX18,$A$3:$A$45,1)):INDEX($B$3:$B$45,MATCH(AX18,$A$3:$A$45,1)+1),INDEX($A$3:$A$45,MATCH(AX18,$A$3:$A$45,1)):INDEX($A$3:$A$45,MATCH(AX18,$A$3:$A$45,1)+1))</f>
        <v>#N/A</v>
      </c>
      <c r="AZ18" s="97" t="e">
        <f t="shared" ref="AZ18:AZ22" si="64">IF(AND(AY18&lt;=750,AY18&gt;250),6,IF(AND(AY18&lt;=250,AY18&gt;120),4,IF(AND(AY18&lt;=120,AY18&gt;75),3,IF(AND(AY18&lt;=75,AY18&gt;40),2.5,IF(AND(AY18&lt;=40,AY18&gt;20),2,IF(AND(AY18&lt;=20,AY18&gt;14),1.5,IF(AND(AY18&lt;=14,AY18&gt;7),1.25,IF(AND(AY18&lt;=7,AY18&gt;3.5),1,IF(AND(AY18&lt;=3.5,AY18&gt;1.7),0.75,IF(AND(AY18&lt;=1.7,AY18&gt;0),0.5))))))))))</f>
        <v>#N/A</v>
      </c>
      <c r="BA18" s="75">
        <f>SUM('FU Distribution'!AZ80:$AZ$109)+IF('FU Distribution'!$D$112=9,'FU Distribution'!$D$114,0)</f>
        <v>0</v>
      </c>
      <c r="BB18" s="76" t="e">
        <f>FORECAST((SUM(BA18:BA1013)),INDEX($B$3:$B$45,MATCH((SUM(BA18:BA1013)),$A$3:$A$45,1)):INDEX($B$3:$B$45,MATCH((SUM(BA18:BA1013)),$A$3:$A$45,1)+1),INDEX($A$3:$A$45,MATCH((SUM(BA18:BA1013)),$A$3:$A$45,1)):INDEX($A$3:$A$45,MATCH((SUM(BA18:BA1013)),$A$3:$A$45,1)+1))</f>
        <v>#N/A</v>
      </c>
      <c r="BC18" s="77" t="e">
        <f t="shared" si="3"/>
        <v>#N/A</v>
      </c>
      <c r="BD18" s="75">
        <f>SUM('FU Distribution'!BA80:$BA$109)</f>
        <v>0</v>
      </c>
      <c r="BE18" s="76" t="e">
        <f>FORECAST((SUM(BD18:BD1013)),INDEX($B$3:$B$45,MATCH((SUM(BD18:BD1013)),$A$3:$A$45,1)):INDEX($B$3:$B$45,MATCH((SUM(BD18:BD1013)),$A$3:$A$45,1)+1),INDEX($A$3:$A$45,MATCH((SUM(BD18:BD1013)),$A$3:$A$45,1)):INDEX($A$3:$A$45,MATCH((SUM(BD18:BD1013)),$A$3:$A$45,1)+1))</f>
        <v>#N/A</v>
      </c>
      <c r="BF18" s="77" t="e">
        <f t="shared" si="4"/>
        <v>#N/A</v>
      </c>
      <c r="BG18" s="61">
        <f>SUM('FU Distribution'!BC80:$BC$109)+IF('FU Distribution'!$D$112=10,'FU Distribution'!$D$114,0)</f>
        <v>0</v>
      </c>
      <c r="BH18" s="62" t="e">
        <f>FORECAST((SUM(BG18:BG1013)),INDEX($B$3:$B$45,MATCH((SUM(BG18:BG1013)),$A$3:$A$45,1)):INDEX($B$3:$B$45,MATCH((SUM(BG18:BG1013)),$A$3:$A$45,1)+1),INDEX($A$3:$A$45,MATCH((SUM(BG18:BG1013)),$A$3:$A$45,1)):INDEX($A$3:$A$45,MATCH((SUM(BG18:BG1013)),$A$3:$A$45,1)+1))</f>
        <v>#N/A</v>
      </c>
      <c r="BI18" s="74" t="e">
        <f t="shared" si="5"/>
        <v>#N/A</v>
      </c>
      <c r="BJ18" s="61">
        <f>SUM('FU Distribution'!BD80:$BD$109)</f>
        <v>0</v>
      </c>
      <c r="BK18" s="62" t="e">
        <f>FORECAST((SUM(BJ18:BJ1013)),INDEX($B$3:$B$45,MATCH((SUM(BJ18:BJ1013)),$A$3:$A$45,1)):INDEX($B$3:$B$45,MATCH((SUM(BJ18:BJ1013)),$A$3:$A$45,1)+1),INDEX($A$3:$A$45,MATCH((SUM(BJ18:BJ1013)),$A$3:$A$45,1)):INDEX($A$3:$A$45,MATCH((SUM(BJ18:BJ1013)),$A$3:$A$45,1)+1))</f>
        <v>#N/A</v>
      </c>
      <c r="BL18" s="74" t="e">
        <f t="shared" si="6"/>
        <v>#N/A</v>
      </c>
      <c r="BM18" s="75">
        <f>SUM('FU Distribution'!BF80:$BF$109)+IF('FU Distribution'!$D$112=11,'FU Distribution'!$D$114,0)</f>
        <v>0</v>
      </c>
      <c r="BN18" s="76" t="e">
        <f>FORECAST((SUM(BM18:BM1013)),INDEX($B$3:$B$45,MATCH((SUM(BM18:BM1013)),$A$3:$A$45,1)):INDEX($B$3:$B$45,MATCH((SUM(BM18:BM1013)),$A$3:$A$45,1)+1),INDEX($A$3:$A$45,MATCH((SUM(BM18:BM1013)),$A$3:$A$45,1)):INDEX($A$3:$A$45,MATCH((SUM(BM18:BM1013)),$A$3:$A$45,1)+1))</f>
        <v>#N/A</v>
      </c>
      <c r="BO18" s="77" t="e">
        <f t="shared" si="7"/>
        <v>#N/A</v>
      </c>
      <c r="BP18" s="75">
        <f>SUM('FU Distribution'!BG80:$BG$109)</f>
        <v>0</v>
      </c>
      <c r="BQ18" s="76" t="e">
        <f>FORECAST((SUM(BP18:BP1013)),INDEX($B$3:$B$45,MATCH((SUM(BP18:BP1013)),$A$3:$A$45,1)):INDEX($B$3:$B$45,MATCH((SUM(BP18:BP1013)),$A$3:$A$45,1)+1),INDEX($A$3:$A$45,MATCH((SUM(BP18:BP1013)),$A$3:$A$45,1)):INDEX($A$3:$A$45,MATCH((SUM(BP18:BP1013)),$A$3:$A$45,1)+1))</f>
        <v>#N/A</v>
      </c>
      <c r="BR18" s="77" t="e">
        <f t="shared" si="8"/>
        <v>#N/A</v>
      </c>
      <c r="BS18" s="61">
        <f>SUM('FU Distribution'!BI80:$BI$109)+IF('FU Distribution'!$D$112=12,'FU Distribution'!$D$114,0)</f>
        <v>0</v>
      </c>
      <c r="BT18" s="62" t="e">
        <f>FORECAST(BS18,INDEX($B$3:$B$45,MATCH(BS18,$A$3:$A$45,1)):INDEX($B$3:$B$45,MATCH(BS18,$A$3:$A$45,1)+1),INDEX($A$3:$A$45,MATCH(BS18,$A$3:$A$45,1)):INDEX($A$3:$A$45,MATCH(BS18,$A$3:$A$45,1)+1))</f>
        <v>#N/A</v>
      </c>
      <c r="BU18" s="74" t="e">
        <f t="shared" si="9"/>
        <v>#N/A</v>
      </c>
      <c r="BV18" s="61">
        <f>SUM('FU Distribution'!BJ80:$BJ$109)</f>
        <v>0</v>
      </c>
      <c r="BW18" s="62" t="e">
        <f>FORECAST(BV18,INDEX($B$3:$B$45,MATCH(BV18,$A$3:$A$45,1)):INDEX($B$3:$B$45,MATCH(BV18,$A$3:$A$45,1)+1),INDEX($A$3:$A$45,MATCH(BV18,$A$3:$A$45,1)):INDEX($A$3:$A$45,MATCH(BV18,$A$3:$A$45,1)+1))</f>
        <v>#N/A</v>
      </c>
      <c r="BX18" s="74" t="e">
        <f t="shared" si="10"/>
        <v>#N/A</v>
      </c>
      <c r="BY18" s="75">
        <f>SUM('FU Distribution'!BL80:$BL$109)+IF('FU Distribution'!$D$112=13,'FU Distribution'!$D$114,0)</f>
        <v>0</v>
      </c>
      <c r="BZ18" s="76" t="e">
        <f>FORECAST(BY18,INDEX($B$3:$B$45,MATCH(BY18,$A$3:$A$45,1)):INDEX($B$3:$B$45,MATCH(BY18,$A$3:$A$45,1)+1),INDEX($A$3:$A$45,MATCH(BY18,$A$3:$A$45,1)):INDEX($A$3:$A$45,MATCH(BY18,$A$3:$A$45,1)+1))</f>
        <v>#N/A</v>
      </c>
      <c r="CA18" s="77" t="e">
        <f t="shared" si="11"/>
        <v>#N/A</v>
      </c>
      <c r="CB18" s="75">
        <f>SUM('FU Distribution'!BM80:$BM$109)</f>
        <v>0</v>
      </c>
      <c r="CC18" s="76" t="e">
        <f>FORECAST(CB18,INDEX($B$3:$B$45,MATCH(CB18,$A$3:$A$45,1)):INDEX($B$3:$B$45,MATCH(CB18,$A$3:$A$45,1)+1),INDEX($A$3:$A$45,MATCH(CB18,$A$3:$A$45,1)):INDEX($A$3:$A$45,MATCH(CB18,$A$3:$A$45,1)+1))</f>
        <v>#N/A</v>
      </c>
      <c r="CD18" s="77" t="e">
        <f t="shared" si="12"/>
        <v>#N/A</v>
      </c>
      <c r="CE18" s="61">
        <f>SUM('FU Distribution'!BO80:$BO$109)+IF('FU Distribution'!$D$112=13,'FU Distribution'!$D$114,0)</f>
        <v>0</v>
      </c>
      <c r="CF18" s="62" t="e">
        <f>FORECAST(CE18,INDEX($B$3:$B$45,MATCH(CE18,$A$3:$A$45,1)):INDEX($B$3:$B$45,MATCH(CE18,$A$3:$A$45,1)+1),INDEX($A$3:$A$45,MATCH(CE18,$A$3:$A$45,1)):INDEX($A$3:$A$45,MATCH(CE18,$A$3:$A$45,1)+1))</f>
        <v>#N/A</v>
      </c>
      <c r="CG18" s="74" t="e">
        <f t="shared" si="13"/>
        <v>#N/A</v>
      </c>
      <c r="CH18" s="61">
        <f>SUM('FU Distribution'!BP80:$BP$109)</f>
        <v>0</v>
      </c>
      <c r="CI18" s="62" t="e">
        <f>FORECAST(CH18,INDEX($B$3:$B$45,MATCH(CH18,$A$3:$A$45,1)):INDEX($B$3:$B$45,MATCH(CH18,$A$3:$A$45,1)+1),INDEX($A$3:$A$45,MATCH(CH18,$A$3:$A$45,1)):INDEX($A$3:$A$45,MATCH(CH18,$A$3:$A$45,1)+1))</f>
        <v>#N/A</v>
      </c>
      <c r="CJ18" s="74" t="e">
        <f t="shared" si="14"/>
        <v>#N/A</v>
      </c>
    </row>
    <row r="19" spans="1:88" x14ac:dyDescent="0.25">
      <c r="A19" s="2">
        <v>150</v>
      </c>
      <c r="B19" s="2">
        <v>55</v>
      </c>
      <c r="C19" s="63"/>
      <c r="D19" s="52">
        <v>15</v>
      </c>
      <c r="E19" s="61">
        <f>SUM('FU Distribution'!AB81:$AB$109)+IF('FU Distribution'!$D$112=1,'FU Distribution'!$D$114,0)</f>
        <v>0</v>
      </c>
      <c r="F19" s="98" t="e">
        <f>FORECAST((SUM(E19:E1014)),INDEX($B$3:$B$45,MATCH((SUM(E19:E1014)),$A$3:$A$45,1)):INDEX($B$3:$B$45,MATCH((SUM(E19:E1014)),$A$3:$A$45,1)+1),INDEX($A$3:$A$45,MATCH((SUM(E19:E1014)),$A$3:$A$45,1)):INDEX($A$3:$A$45,MATCH((SUM(E19:E1014)),$A$3:$A$45,1)+1))</f>
        <v>#N/A</v>
      </c>
      <c r="G19" s="99" t="e">
        <f t="shared" si="51"/>
        <v>#N/A</v>
      </c>
      <c r="H19" s="61">
        <f>SUM('FU Distribution'!AC81:$AC$109)</f>
        <v>0</v>
      </c>
      <c r="I19" s="98" t="e">
        <f>FORECAST((SUM(H19:H1014)),INDEX($B$3:$B$45,MATCH((SUM(H19:H1014)),$A$3:$A$45,1)):INDEX($B$3:$B$45,MATCH((SUM(H19:H1014)),$A$3:$A$45,1)+1),INDEX($A$3:$A$45,MATCH((SUM(H19:H1014)),$A$3:$A$45,1)):INDEX($A$3:$A$45,MATCH((SUM(H19:H1014)),$A$3:$A$45,1)+1))</f>
        <v>#N/A</v>
      </c>
      <c r="J19" s="99" t="e">
        <f t="shared" si="52"/>
        <v>#N/A</v>
      </c>
      <c r="K19" s="75">
        <f>SUM('FU Distribution'!AE81:$AE$109)+IF('FU Distribution'!$D$112=2,'FU Distribution'!$D$114,0)</f>
        <v>0</v>
      </c>
      <c r="L19" s="100" t="e">
        <f>FORECAST((SUM(K19:K1014)),INDEX($B$3:$B$45,MATCH((SUM(K19:K1014)),$A$3:$A$45,1)):INDEX($B$3:$B$45,MATCH((SUM(K19:K1014)),$A$3:$A$45,1)+1),INDEX($A$3:$A$45,MATCH((SUM(K19:K1014)),$A$3:$A$45,1)):INDEX($A$3:$A$45,MATCH((SUM(K19:K1014)),$A$3:$A$45,1)+1))</f>
        <v>#N/A</v>
      </c>
      <c r="M19" s="101" t="e">
        <f t="shared" si="53"/>
        <v>#N/A</v>
      </c>
      <c r="N19" s="75">
        <f>SUM('FU Distribution'!AF81:$AF$109)</f>
        <v>0</v>
      </c>
      <c r="O19" s="100" t="e">
        <f>FORECAST((SUM(N19:N1014)),INDEX($B$3:$B$45,MATCH((SUM(N19:N1014)),$A$3:$A$45,1)):INDEX($B$3:$B$45,MATCH((SUM(N19:N1014)),$A$3:$A$45,1)+1),INDEX($A$3:$A$45,MATCH((SUM(N19:N1014)),$A$3:$A$45,1)):INDEX($A$3:$A$45,MATCH((SUM(N19:N1014)),$A$3:$A$45,1)+1))</f>
        <v>#N/A</v>
      </c>
      <c r="P19" s="101" t="e">
        <f t="shared" si="54"/>
        <v>#N/A</v>
      </c>
      <c r="Q19" s="61">
        <f>SUM('FU Distribution'!AH81:$AH$109)+IF('FU Distribution'!$D$112=3,'FU Distribution'!$D$114,0)</f>
        <v>0</v>
      </c>
      <c r="R19" s="98" t="e">
        <f>FORECAST((SUM(Q19:Q1014)),INDEX($B$3:$B$45,MATCH((SUM(Q19:Q1014)),$A$3:$A$45,1)):INDEX($B$3:$B$45,MATCH((SUM(Q19:Q1014)),$A$3:$A$45,1)+1),INDEX($A$3:$A$45,MATCH((SUM(Q19:Q1014)),$A$3:$A$45,1)):INDEX($A$3:$A$45,MATCH((SUM(Q19:Q1014)),$A$3:$A$45,1)+1))</f>
        <v>#N/A</v>
      </c>
      <c r="S19" s="99" t="e">
        <f t="shared" si="55"/>
        <v>#N/A</v>
      </c>
      <c r="T19" s="61">
        <f>SUM('FU Distribution'!AI81:$AI$109)</f>
        <v>0</v>
      </c>
      <c r="U19" s="98" t="e">
        <f>FORECAST((SUM(T19:T1014)),INDEX($B$3:$B$45,MATCH((SUM(T19:T1014)),$A$3:$A$45,1)):INDEX($B$3:$B$45,MATCH((SUM(T19:T1014)),$A$3:$A$45,1)+1),INDEX($A$3:$A$45,MATCH((SUM(T19:T1014)),$A$3:$A$45,1)):INDEX($A$3:$A$45,MATCH((SUM(T19:T1014)),$A$3:$A$45,1)+1))</f>
        <v>#N/A</v>
      </c>
      <c r="V19" s="99" t="e">
        <f t="shared" si="0"/>
        <v>#N/A</v>
      </c>
      <c r="W19" s="75">
        <f>SUM('FU Distribution'!AK81:$AK$109)+IF('FU Distribution'!$D$112=4,'FU Distribution'!$D$114,0)</f>
        <v>0</v>
      </c>
      <c r="X19" s="100" t="e">
        <f>FORECAST((SUM(W19:W1014)),INDEX($B$3:$B$45,MATCH((SUM(W19:W1014)),$A$3:$A$45,1)):INDEX($B$3:$B$45,MATCH((SUM(W19:W1014)),$A$3:$A$45,1)+1),INDEX($A$3:$A$45,MATCH((SUM(W19:W1014)),$A$3:$A$45,1)):INDEX($A$3:$A$45,MATCH((SUM(W19:W1014)),$A$3:$A$45,1)+1))</f>
        <v>#N/A</v>
      </c>
      <c r="Y19" s="101" t="e">
        <f t="shared" si="1"/>
        <v>#N/A</v>
      </c>
      <c r="Z19" s="75">
        <f>SUM('FU Distribution'!AL81:$AL$109)</f>
        <v>0</v>
      </c>
      <c r="AA19" s="100" t="e">
        <f>FORECAST((SUM(Z19:Z1014)),INDEX($B$3:$B$45,MATCH((SUM(Z19:Z1014)),$A$3:$A$45,1)):INDEX($B$3:$B$45,MATCH((SUM(Z19:Z1014)),$A$3:$A$45,1)+1),INDEX($A$3:$A$45,MATCH((SUM(Z19:Z1014)),$A$3:$A$45,1)):INDEX($A$3:$A$45,MATCH((SUM(Z19:Z1014)),$A$3:$A$45,1)+1))</f>
        <v>#N/A</v>
      </c>
      <c r="AB19" s="101" t="e">
        <f t="shared" si="56"/>
        <v>#N/A</v>
      </c>
      <c r="AC19" s="61">
        <f>SUM('FU Distribution'!AN81:$AN$109)+IF('FU Distribution'!$D$112=5,'FU Distribution'!$D$114,0)</f>
        <v>0</v>
      </c>
      <c r="AD19" s="98" t="e">
        <f>FORECAST((SUM(AC19:AC1014)),INDEX($B$3:$B$45,MATCH((SUM(AC19:AC1014)),$A$3:$A$45,1)):INDEX($B$3:$B$45,MATCH((SUM(AC19:AC1014)),$A$3:$A$45,1)+1),INDEX($A$3:$A$45,MATCH((SUM(AC19:AC1014)),$A$3:$A$45,1)):INDEX($A$3:$A$45,MATCH((SUM(AC19:AC1014)),$A$3:$A$45,1)+1))</f>
        <v>#N/A</v>
      </c>
      <c r="AE19" s="99" t="e">
        <f t="shared" si="57"/>
        <v>#N/A</v>
      </c>
      <c r="AF19" s="61">
        <f>SUM('FU Distribution'!AO81:$AO$109)</f>
        <v>0</v>
      </c>
      <c r="AG19" s="98" t="e">
        <f>FORECAST((SUM(AF19:AF1014)),INDEX($B$3:$B$45,MATCH((SUM(AF19:AF1014)),$A$3:$A$45,1)):INDEX($B$3:$B$45,MATCH((SUM(AF19:AF1014)),$A$3:$A$45,1)+1),INDEX($A$3:$A$45,MATCH((SUM(AF19:AF1014)),$A$3:$A$45,1)):INDEX($A$3:$A$45,MATCH((SUM(AF19:AF1014)),$A$3:$A$45,1)+1))</f>
        <v>#N/A</v>
      </c>
      <c r="AH19" s="99" t="e">
        <f t="shared" si="58"/>
        <v>#N/A</v>
      </c>
      <c r="AI19" s="75">
        <f>SUM('FU Distribution'!AQ81:$AQ$109)+IF('FU Distribution'!$D$112=6,'FU Distribution'!$D$114,0)</f>
        <v>0</v>
      </c>
      <c r="AJ19" s="100" t="e">
        <f>FORECAST((SUM(AI19:AI1014)),INDEX($B$3:$B$45,MATCH((SUM(AI19:AI1014)),$A$3:$A$45,1)):INDEX($B$3:$B$45,MATCH((SUM(AI19:AI1014)),$A$3:$A$45,1)+1),INDEX($A$3:$A$45,MATCH((SUM(AI19:AI1014)),$A$3:$A$45,1)):INDEX($A$3:$A$45,MATCH((SUM(AI19:AI1014)),$A$3:$A$45,1)+1))</f>
        <v>#N/A</v>
      </c>
      <c r="AK19" s="101" t="e">
        <f t="shared" si="59"/>
        <v>#N/A</v>
      </c>
      <c r="AL19" s="75">
        <f>SUM('FU Distribution'!AR81:$AR$109)</f>
        <v>0</v>
      </c>
      <c r="AM19" s="100" t="e">
        <f>FORECAST((SUM(AL19:AL1014)),INDEX($B$3:$B$45,MATCH((SUM(AL19:AL1014)),$A$3:$A$45,1)):INDEX($B$3:$B$45,MATCH((SUM(AL19:AL1014)),$A$3:$A$45,1)+1),INDEX($A$3:$A$45,MATCH((SUM(AL19:AL1014)),$A$3:$A$45,1)):INDEX($A$3:$A$45,MATCH((SUM(AL19:AL1014)),$A$3:$A$45,1)+1))</f>
        <v>#N/A</v>
      </c>
      <c r="AN19" s="101" t="e">
        <f t="shared" si="60"/>
        <v>#N/A</v>
      </c>
      <c r="AO19" s="61">
        <f>SUM('FU Distribution'!AT81:$AT$109)+IF('FU Distribution'!$D$112=7,'FU Distribution'!$D$114,0)</f>
        <v>0</v>
      </c>
      <c r="AP19" s="98" t="e">
        <f>FORECAST((SUM(AO19:AO1014)),INDEX($B$3:$B$45,MATCH((SUM(AO19:AO1014)),$A$3:$A$45,1)):INDEX($B$3:$B$45,MATCH((SUM(AO19:AO1014)),$A$3:$A$45,1)+1),INDEX($A$3:$A$45,MATCH((SUM(AO19:AO1014)),$A$3:$A$45,1)):INDEX($A$3:$A$45,MATCH((SUM(AO19:AO1014)),$A$3:$A$45,1)+1))</f>
        <v>#N/A</v>
      </c>
      <c r="AQ19" s="99" t="e">
        <f t="shared" si="61"/>
        <v>#N/A</v>
      </c>
      <c r="AR19" s="61">
        <f>SUM('FU Distribution'!AU81:$AU$109)</f>
        <v>0</v>
      </c>
      <c r="AS19" s="98" t="e">
        <f>FORECAST((SUM(AR19:AR1014)),INDEX($B$3:$B$45,MATCH((SUM(AR19:AR1014)),$A$3:$A$45,1)):INDEX($B$3:$B$45,MATCH((SUM(AR19:AR1014)),$A$3:$A$45,1)+1),INDEX($A$3:$A$45,MATCH((SUM(AR19:AR1014)),$A$3:$A$45,1)):INDEX($A$3:$A$45,MATCH((SUM(AR19:AR1014)),$A$3:$A$45,1)+1))</f>
        <v>#N/A</v>
      </c>
      <c r="AT19" s="99" t="e">
        <f t="shared" si="62"/>
        <v>#N/A</v>
      </c>
      <c r="AU19" s="61">
        <f>SUM('FU Distribution'!AW81:$AW$109)+IF('FU Distribution'!$D$112=8,'FU Distribution'!$D$114,0)</f>
        <v>0</v>
      </c>
      <c r="AV19" s="98" t="e">
        <f>FORECAST(AU19,INDEX($B$3:$B$45,MATCH(AU19,$A$3:$A$45,1)):INDEX($B$3:$B$45,MATCH(AU19,$A$3:$A$45,1)+1),INDEX($A$3:$A$45,MATCH(AU19,$A$3:$A$45,1)):INDEX($A$3:$A$45,MATCH(AU19,$A$3:$A$45,1)+1))</f>
        <v>#N/A</v>
      </c>
      <c r="AW19" s="99" t="e">
        <f t="shared" si="63"/>
        <v>#N/A</v>
      </c>
      <c r="AX19" s="61">
        <f>SUM('FU Distribution'!AX81:$AX$109)</f>
        <v>0</v>
      </c>
      <c r="AY19" s="98" t="e">
        <f>FORECAST(AX19,INDEX($B$3:$B$45,MATCH(AX19,$A$3:$A$45,1)):INDEX($B$3:$B$45,MATCH(AX19,$A$3:$A$45,1)+1),INDEX($A$3:$A$45,MATCH(AX19,$A$3:$A$45,1)):INDEX($A$3:$A$45,MATCH(AX19,$A$3:$A$45,1)+1))</f>
        <v>#N/A</v>
      </c>
      <c r="AZ19" s="99" t="e">
        <f t="shared" si="64"/>
        <v>#N/A</v>
      </c>
      <c r="BA19" s="75">
        <f>SUM('FU Distribution'!AZ81:$AZ$109)+IF('FU Distribution'!$D$112=9,'FU Distribution'!$D$114,0)</f>
        <v>0</v>
      </c>
      <c r="BB19" s="76" t="e">
        <f>FORECAST((SUM(BA19:BA1014)),INDEX($B$3:$B$45,MATCH((SUM(BA19:BA1014)),$A$3:$A$45,1)):INDEX($B$3:$B$45,MATCH((SUM(BA19:BA1014)),$A$3:$A$45,1)+1),INDEX($A$3:$A$45,MATCH((SUM(BA19:BA1014)),$A$3:$A$45,1)):INDEX($A$3:$A$45,MATCH((SUM(BA19:BA1014)),$A$3:$A$45,1)+1))</f>
        <v>#N/A</v>
      </c>
      <c r="BC19" s="77" t="e">
        <f t="shared" si="3"/>
        <v>#N/A</v>
      </c>
      <c r="BD19" s="75">
        <f>SUM('FU Distribution'!BA81:$BA$109)</f>
        <v>0</v>
      </c>
      <c r="BE19" s="76" t="e">
        <f>FORECAST((SUM(BD19:BD1014)),INDEX($B$3:$B$45,MATCH((SUM(BD19:BD1014)),$A$3:$A$45,1)):INDEX($B$3:$B$45,MATCH((SUM(BD19:BD1014)),$A$3:$A$45,1)+1),INDEX($A$3:$A$45,MATCH((SUM(BD19:BD1014)),$A$3:$A$45,1)):INDEX($A$3:$A$45,MATCH((SUM(BD19:BD1014)),$A$3:$A$45,1)+1))</f>
        <v>#N/A</v>
      </c>
      <c r="BF19" s="77" t="e">
        <f t="shared" si="4"/>
        <v>#N/A</v>
      </c>
      <c r="BG19" s="61">
        <f>SUM('FU Distribution'!BC81:$BC$109)+IF('FU Distribution'!$D$112=10,'FU Distribution'!$D$114,0)</f>
        <v>0</v>
      </c>
      <c r="BH19" s="62" t="e">
        <f>FORECAST((SUM(BG19:BG1014)),INDEX($B$3:$B$45,MATCH((SUM(BG19:BG1014)),$A$3:$A$45,1)):INDEX($B$3:$B$45,MATCH((SUM(BG19:BG1014)),$A$3:$A$45,1)+1),INDEX($A$3:$A$45,MATCH((SUM(BG19:BG1014)),$A$3:$A$45,1)):INDEX($A$3:$A$45,MATCH((SUM(BG19:BG1014)),$A$3:$A$45,1)+1))</f>
        <v>#N/A</v>
      </c>
      <c r="BI19" s="74" t="e">
        <f t="shared" si="5"/>
        <v>#N/A</v>
      </c>
      <c r="BJ19" s="61">
        <f>SUM('FU Distribution'!BD81:$BD$109)</f>
        <v>0</v>
      </c>
      <c r="BK19" s="62" t="e">
        <f>FORECAST((SUM(BJ19:BJ1014)),INDEX($B$3:$B$45,MATCH((SUM(BJ19:BJ1014)),$A$3:$A$45,1)):INDEX($B$3:$B$45,MATCH((SUM(BJ19:BJ1014)),$A$3:$A$45,1)+1),INDEX($A$3:$A$45,MATCH((SUM(BJ19:BJ1014)),$A$3:$A$45,1)):INDEX($A$3:$A$45,MATCH((SUM(BJ19:BJ1014)),$A$3:$A$45,1)+1))</f>
        <v>#N/A</v>
      </c>
      <c r="BL19" s="74" t="e">
        <f t="shared" si="6"/>
        <v>#N/A</v>
      </c>
      <c r="BM19" s="75">
        <f>SUM('FU Distribution'!BF81:$BF$109)+IF('FU Distribution'!$D$112=11,'FU Distribution'!$D$114,0)</f>
        <v>0</v>
      </c>
      <c r="BN19" s="76" t="e">
        <f>FORECAST((SUM(BM19:BM1014)),INDEX($B$3:$B$45,MATCH((SUM(BM19:BM1014)),$A$3:$A$45,1)):INDEX($B$3:$B$45,MATCH((SUM(BM19:BM1014)),$A$3:$A$45,1)+1),INDEX($A$3:$A$45,MATCH((SUM(BM19:BM1014)),$A$3:$A$45,1)):INDEX($A$3:$A$45,MATCH((SUM(BM19:BM1014)),$A$3:$A$45,1)+1))</f>
        <v>#N/A</v>
      </c>
      <c r="BO19" s="77" t="e">
        <f t="shared" si="7"/>
        <v>#N/A</v>
      </c>
      <c r="BP19" s="75">
        <f>SUM('FU Distribution'!BG81:$BG$109)</f>
        <v>0</v>
      </c>
      <c r="BQ19" s="76" t="e">
        <f>FORECAST((SUM(BP19:BP1014)),INDEX($B$3:$B$45,MATCH((SUM(BP19:BP1014)),$A$3:$A$45,1)):INDEX($B$3:$B$45,MATCH((SUM(BP19:BP1014)),$A$3:$A$45,1)+1),INDEX($A$3:$A$45,MATCH((SUM(BP19:BP1014)),$A$3:$A$45,1)):INDEX($A$3:$A$45,MATCH((SUM(BP19:BP1014)),$A$3:$A$45,1)+1))</f>
        <v>#N/A</v>
      </c>
      <c r="BR19" s="77" t="e">
        <f t="shared" si="8"/>
        <v>#N/A</v>
      </c>
      <c r="BS19" s="61">
        <f>SUM('FU Distribution'!BI81:$BI$109)+IF('FU Distribution'!$D$112=12,'FU Distribution'!$D$114,0)</f>
        <v>0</v>
      </c>
      <c r="BT19" s="62" t="e">
        <f>FORECAST(BS19,INDEX($B$3:$B$45,MATCH(BS19,$A$3:$A$45,1)):INDEX($B$3:$B$45,MATCH(BS19,$A$3:$A$45,1)+1),INDEX($A$3:$A$45,MATCH(BS19,$A$3:$A$45,1)):INDEX($A$3:$A$45,MATCH(BS19,$A$3:$A$45,1)+1))</f>
        <v>#N/A</v>
      </c>
      <c r="BU19" s="74" t="e">
        <f t="shared" si="9"/>
        <v>#N/A</v>
      </c>
      <c r="BV19" s="61">
        <f>SUM('FU Distribution'!BJ81:$BJ$109)</f>
        <v>0</v>
      </c>
      <c r="BW19" s="62" t="e">
        <f>FORECAST(BV19,INDEX($B$3:$B$45,MATCH(BV19,$A$3:$A$45,1)):INDEX($B$3:$B$45,MATCH(BV19,$A$3:$A$45,1)+1),INDEX($A$3:$A$45,MATCH(BV19,$A$3:$A$45,1)):INDEX($A$3:$A$45,MATCH(BV19,$A$3:$A$45,1)+1))</f>
        <v>#N/A</v>
      </c>
      <c r="BX19" s="74" t="e">
        <f t="shared" si="10"/>
        <v>#N/A</v>
      </c>
      <c r="BY19" s="75">
        <f>SUM('FU Distribution'!BL81:$BL$109)+IF('FU Distribution'!$D$112=13,'FU Distribution'!$D$114,0)</f>
        <v>0</v>
      </c>
      <c r="BZ19" s="76" t="e">
        <f>FORECAST(BY19,INDEX($B$3:$B$45,MATCH(BY19,$A$3:$A$45,1)):INDEX($B$3:$B$45,MATCH(BY19,$A$3:$A$45,1)+1),INDEX($A$3:$A$45,MATCH(BY19,$A$3:$A$45,1)):INDEX($A$3:$A$45,MATCH(BY19,$A$3:$A$45,1)+1))</f>
        <v>#N/A</v>
      </c>
      <c r="CA19" s="77" t="e">
        <f t="shared" si="11"/>
        <v>#N/A</v>
      </c>
      <c r="CB19" s="75">
        <f>SUM('FU Distribution'!BM81:$BM$109)</f>
        <v>0</v>
      </c>
      <c r="CC19" s="76" t="e">
        <f>FORECAST(CB19,INDEX($B$3:$B$45,MATCH(CB19,$A$3:$A$45,1)):INDEX($B$3:$B$45,MATCH(CB19,$A$3:$A$45,1)+1),INDEX($A$3:$A$45,MATCH(CB19,$A$3:$A$45,1)):INDEX($A$3:$A$45,MATCH(CB19,$A$3:$A$45,1)+1))</f>
        <v>#N/A</v>
      </c>
      <c r="CD19" s="77" t="e">
        <f t="shared" si="12"/>
        <v>#N/A</v>
      </c>
      <c r="CE19" s="61">
        <f>SUM('FU Distribution'!BO81:$BO$109)+IF('FU Distribution'!$D$112=13,'FU Distribution'!$D$114,0)</f>
        <v>0</v>
      </c>
      <c r="CF19" s="62" t="e">
        <f>FORECAST(CE19,INDEX($B$3:$B$45,MATCH(CE19,$A$3:$A$45,1)):INDEX($B$3:$B$45,MATCH(CE19,$A$3:$A$45,1)+1),INDEX($A$3:$A$45,MATCH(CE19,$A$3:$A$45,1)):INDEX($A$3:$A$45,MATCH(CE19,$A$3:$A$45,1)+1))</f>
        <v>#N/A</v>
      </c>
      <c r="CG19" s="74" t="e">
        <f t="shared" si="13"/>
        <v>#N/A</v>
      </c>
      <c r="CH19" s="61">
        <f>SUM('FU Distribution'!BP81:$BP$109)</f>
        <v>0</v>
      </c>
      <c r="CI19" s="62" t="e">
        <f>FORECAST(CH19,INDEX($B$3:$B$45,MATCH(CH19,$A$3:$A$45,1)):INDEX($B$3:$B$45,MATCH(CH19,$A$3:$A$45,1)+1),INDEX($A$3:$A$45,MATCH(CH19,$A$3:$A$45,1)):INDEX($A$3:$A$45,MATCH(CH19,$A$3:$A$45,1)+1))</f>
        <v>#N/A</v>
      </c>
      <c r="CJ19" s="74" t="e">
        <f t="shared" si="14"/>
        <v>#N/A</v>
      </c>
    </row>
    <row r="20" spans="1:88" x14ac:dyDescent="0.25">
      <c r="A20" s="2">
        <v>160</v>
      </c>
      <c r="B20" s="2">
        <v>58</v>
      </c>
      <c r="C20" s="63"/>
      <c r="D20" s="52">
        <v>16</v>
      </c>
      <c r="E20" s="61">
        <f>SUM('FU Distribution'!AB82:$AB$109)+IF('FU Distribution'!$D$112=1,'FU Distribution'!$D$114,0)</f>
        <v>0</v>
      </c>
      <c r="F20" s="96" t="e">
        <f>FORECAST((SUM(E20:E1014)),INDEX($B$3:$B$45,MATCH((SUM(E20:E1014)),$A$3:$A$45,1)):INDEX($B$3:$B$45,MATCH((SUM(E20:E1014)),$A$3:$A$45,1)+1),INDEX($A$3:$A$45,MATCH((SUM(E20:E1014)),$A$3:$A$45,1)):INDEX($A$3:$A$45,MATCH((SUM(E20:E1014)),$A$3:$A$45,1)+1))</f>
        <v>#N/A</v>
      </c>
      <c r="G20" s="97" t="e">
        <f t="shared" si="51"/>
        <v>#N/A</v>
      </c>
      <c r="H20" s="61">
        <f>SUM('FU Distribution'!AC82:$AC$109)</f>
        <v>0</v>
      </c>
      <c r="I20" s="96" t="e">
        <f>FORECAST((SUM(H20:H1015)),INDEX($B$3:$B$45,MATCH((SUM(H20:H1015)),$A$3:$A$45,1)):INDEX($B$3:$B$45,MATCH((SUM(H20:H1015)),$A$3:$A$45,1)+1),INDEX($A$3:$A$45,MATCH((SUM(H20:H1015)),$A$3:$A$45,1)):INDEX($A$3:$A$45,MATCH((SUM(H20:H1015)),$A$3:$A$45,1)+1))</f>
        <v>#N/A</v>
      </c>
      <c r="J20" s="97" t="e">
        <f t="shared" si="52"/>
        <v>#N/A</v>
      </c>
      <c r="K20" s="75">
        <f>SUM('FU Distribution'!AE82:$AE$109)+IF('FU Distribution'!$D$112=2,'FU Distribution'!$D$114,0)</f>
        <v>0</v>
      </c>
      <c r="L20" s="96" t="e">
        <f>FORECAST((SUM(K20:K1015)),INDEX($B$3:$B$45,MATCH((SUM(K20:K1015)),$A$3:$A$45,1)):INDEX($B$3:$B$45,MATCH((SUM(K20:K1015)),$A$3:$A$45,1)+1),INDEX($A$3:$A$45,MATCH((SUM(K20:K1015)),$A$3:$A$45,1)):INDEX($A$3:$A$45,MATCH((SUM(K20:K1015)),$A$3:$A$45,1)+1))</f>
        <v>#N/A</v>
      </c>
      <c r="M20" s="97" t="e">
        <f t="shared" si="53"/>
        <v>#N/A</v>
      </c>
      <c r="N20" s="75">
        <f>SUM('FU Distribution'!AF82:$AF$109)</f>
        <v>0</v>
      </c>
      <c r="O20" s="96" t="e">
        <f>FORECAST((SUM(N20:N1015)),INDEX($B$3:$B$45,MATCH((SUM(N20:N1015)),$A$3:$A$45,1)):INDEX($B$3:$B$45,MATCH((SUM(N20:N1015)),$A$3:$A$45,1)+1),INDEX($A$3:$A$45,MATCH((SUM(N20:N1015)),$A$3:$A$45,1)):INDEX($A$3:$A$45,MATCH((SUM(N20:N1015)),$A$3:$A$45,1)+1))</f>
        <v>#N/A</v>
      </c>
      <c r="P20" s="97" t="e">
        <f t="shared" si="54"/>
        <v>#N/A</v>
      </c>
      <c r="Q20" s="61">
        <f>SUM('FU Distribution'!AH82:$AH$109)+IF('FU Distribution'!$D$112=3,'FU Distribution'!$D$114,0)</f>
        <v>0</v>
      </c>
      <c r="R20" s="96" t="e">
        <f>FORECAST((SUM(Q20:Q1015)),INDEX($B$3:$B$45,MATCH((SUM(Q20:Q1015)),$A$3:$A$45,1)):INDEX($B$3:$B$45,MATCH((SUM(Q20:Q1015)),$A$3:$A$45,1)+1),INDEX($A$3:$A$45,MATCH((SUM(Q20:Q1015)),$A$3:$A$45,1)):INDEX($A$3:$A$45,MATCH((SUM(Q20:Q1015)),$A$3:$A$45,1)+1))</f>
        <v>#N/A</v>
      </c>
      <c r="S20" s="97" t="e">
        <f t="shared" si="55"/>
        <v>#N/A</v>
      </c>
      <c r="T20" s="61">
        <f>SUM('FU Distribution'!AI82:$AI$109)</f>
        <v>0</v>
      </c>
      <c r="U20" s="96" t="e">
        <f>FORECAST((SUM(T20:T1015)),INDEX($B$3:$B$45,MATCH((SUM(T20:T1015)),$A$3:$A$45,1)):INDEX($B$3:$B$45,MATCH((SUM(T20:T1015)),$A$3:$A$45,1)+1),INDEX($A$3:$A$45,MATCH((SUM(T20:T1015)),$A$3:$A$45,1)):INDEX($A$3:$A$45,MATCH((SUM(T20:T1015)),$A$3:$A$45,1)+1))</f>
        <v>#N/A</v>
      </c>
      <c r="V20" s="97" t="e">
        <f t="shared" si="0"/>
        <v>#N/A</v>
      </c>
      <c r="W20" s="75">
        <f>SUM('FU Distribution'!AK82:$AK$109)+IF('FU Distribution'!$D$112=4,'FU Distribution'!$D$114,0)</f>
        <v>0</v>
      </c>
      <c r="X20" s="96" t="e">
        <f>FORECAST((SUM(W20:W1015)),INDEX($B$3:$B$45,MATCH((SUM(W20:W1015)),$A$3:$A$45,1)):INDEX($B$3:$B$45,MATCH((SUM(W20:W1015)),$A$3:$A$45,1)+1),INDEX($A$3:$A$45,MATCH((SUM(W20:W1015)),$A$3:$A$45,1)):INDEX($A$3:$A$45,MATCH((SUM(W20:W1015)),$A$3:$A$45,1)+1))</f>
        <v>#N/A</v>
      </c>
      <c r="Y20" s="97" t="e">
        <f t="shared" si="1"/>
        <v>#N/A</v>
      </c>
      <c r="Z20" s="75">
        <f>SUM('FU Distribution'!AL82:$AL$109)</f>
        <v>0</v>
      </c>
      <c r="AA20" s="96" t="e">
        <f>FORECAST((SUM(Z20:Z1015)),INDEX($B$3:$B$45,MATCH((SUM(Z20:Z1015)),$A$3:$A$45,1)):INDEX($B$3:$B$45,MATCH((SUM(Z20:Z1015)),$A$3:$A$45,1)+1),INDEX($A$3:$A$45,MATCH((SUM(Z20:Z1015)),$A$3:$A$45,1)):INDEX($A$3:$A$45,MATCH((SUM(Z20:Z1015)),$A$3:$A$45,1)+1))</f>
        <v>#N/A</v>
      </c>
      <c r="AB20" s="97" t="e">
        <f t="shared" si="56"/>
        <v>#N/A</v>
      </c>
      <c r="AC20" s="61">
        <f>SUM('FU Distribution'!AN82:$AN$109)+IF('FU Distribution'!$D$112=5,'FU Distribution'!$D$114,0)</f>
        <v>0</v>
      </c>
      <c r="AD20" s="96" t="e">
        <f>FORECAST((SUM(AC20:AC1015)),INDEX($B$3:$B$45,MATCH((SUM(AC20:AC1015)),$A$3:$A$45,1)):INDEX($B$3:$B$45,MATCH((SUM(AC20:AC1015)),$A$3:$A$45,1)+1),INDEX($A$3:$A$45,MATCH((SUM(AC20:AC1015)),$A$3:$A$45,1)):INDEX($A$3:$A$45,MATCH((SUM(AC20:AC1015)),$A$3:$A$45,1)+1))</f>
        <v>#N/A</v>
      </c>
      <c r="AE20" s="97" t="e">
        <f t="shared" si="57"/>
        <v>#N/A</v>
      </c>
      <c r="AF20" s="61">
        <f>SUM('FU Distribution'!AO82:$AO$109)</f>
        <v>0</v>
      </c>
      <c r="AG20" s="96" t="e">
        <f>FORECAST((SUM(AF20:AF1015)),INDEX($B$3:$B$45,MATCH((SUM(AF20:AF1015)),$A$3:$A$45,1)):INDEX($B$3:$B$45,MATCH((SUM(AF20:AF1015)),$A$3:$A$45,1)+1),INDEX($A$3:$A$45,MATCH((SUM(AF20:AF1015)),$A$3:$A$45,1)):INDEX($A$3:$A$45,MATCH((SUM(AF20:AF1015)),$A$3:$A$45,1)+1))</f>
        <v>#N/A</v>
      </c>
      <c r="AH20" s="97" t="e">
        <f t="shared" si="58"/>
        <v>#N/A</v>
      </c>
      <c r="AI20" s="75">
        <f>SUM('FU Distribution'!AQ82:$AQ$109)+IF('FU Distribution'!$D$112=6,'FU Distribution'!$D$114,0)</f>
        <v>0</v>
      </c>
      <c r="AJ20" s="96" t="e">
        <f>FORECAST((SUM(AI20:AI1015)),INDEX($B$3:$B$45,MATCH((SUM(AI20:AI1015)),$A$3:$A$45,1)):INDEX($B$3:$B$45,MATCH((SUM(AI20:AI1015)),$A$3:$A$45,1)+1),INDEX($A$3:$A$45,MATCH((SUM(AI20:AI1015)),$A$3:$A$45,1)):INDEX($A$3:$A$45,MATCH((SUM(AI20:AI1015)),$A$3:$A$45,1)+1))</f>
        <v>#N/A</v>
      </c>
      <c r="AK20" s="97" t="e">
        <f t="shared" si="59"/>
        <v>#N/A</v>
      </c>
      <c r="AL20" s="75">
        <f>SUM('FU Distribution'!AR82:$AR$109)</f>
        <v>0</v>
      </c>
      <c r="AM20" s="96" t="e">
        <f>FORECAST((SUM(AL20:AL1015)),INDEX($B$3:$B$45,MATCH((SUM(AL20:AL1015)),$A$3:$A$45,1)):INDEX($B$3:$B$45,MATCH((SUM(AL20:AL1015)),$A$3:$A$45,1)+1),INDEX($A$3:$A$45,MATCH((SUM(AL20:AL1015)),$A$3:$A$45,1)):INDEX($A$3:$A$45,MATCH((SUM(AL20:AL1015)),$A$3:$A$45,1)+1))</f>
        <v>#N/A</v>
      </c>
      <c r="AN20" s="97" t="e">
        <f t="shared" si="60"/>
        <v>#N/A</v>
      </c>
      <c r="AO20" s="61">
        <f>SUM('FU Distribution'!AT82:$AT$109)+IF('FU Distribution'!$D$112=7,'FU Distribution'!$D$114,0)</f>
        <v>0</v>
      </c>
      <c r="AP20" s="96" t="e">
        <f>FORECAST((SUM(AO20:AO1015)),INDEX($B$3:$B$45,MATCH((SUM(AO20:AO1015)),$A$3:$A$45,1)):INDEX($B$3:$B$45,MATCH((SUM(AO20:AO1015)),$A$3:$A$45,1)+1),INDEX($A$3:$A$45,MATCH((SUM(AO20:AO1015)),$A$3:$A$45,1)):INDEX($A$3:$A$45,MATCH((SUM(AO20:AO1015)),$A$3:$A$45,1)+1))</f>
        <v>#N/A</v>
      </c>
      <c r="AQ20" s="97" t="e">
        <f t="shared" si="61"/>
        <v>#N/A</v>
      </c>
      <c r="AR20" s="61">
        <f>SUM('FU Distribution'!AU82:$AU$109)</f>
        <v>0</v>
      </c>
      <c r="AS20" s="96" t="e">
        <f>FORECAST((SUM(AR20:AR1015)),INDEX($B$3:$B$45,MATCH((SUM(AR20:AR1015)),$A$3:$A$45,1)):INDEX($B$3:$B$45,MATCH((SUM(AR20:AR1015)),$A$3:$A$45,1)+1),INDEX($A$3:$A$45,MATCH((SUM(AR20:AR1015)),$A$3:$A$45,1)):INDEX($A$3:$A$45,MATCH((SUM(AR20:AR1015)),$A$3:$A$45,1)+1))</f>
        <v>#N/A</v>
      </c>
      <c r="AT20" s="97" t="e">
        <f t="shared" si="62"/>
        <v>#N/A</v>
      </c>
      <c r="AU20" s="61">
        <f>SUM('FU Distribution'!AW82:$AW$109)+IF('FU Distribution'!$D$112=8,'FU Distribution'!$D$114,0)</f>
        <v>0</v>
      </c>
      <c r="AV20" s="98" t="e">
        <f>FORECAST(AU20,INDEX($B$3:$B$45,MATCH(AU20,$A$3:$A$45,1)):INDEX($B$3:$B$45,MATCH(AU20,$A$3:$A$45,1)+1),INDEX($A$3:$A$45,MATCH(AU20,$A$3:$A$45,1)):INDEX($A$3:$A$45,MATCH(AU20,$A$3:$A$45,1)+1))</f>
        <v>#N/A</v>
      </c>
      <c r="AW20" s="97" t="e">
        <f t="shared" si="63"/>
        <v>#N/A</v>
      </c>
      <c r="AX20" s="61">
        <f>SUM('FU Distribution'!AX82:$AX$109)</f>
        <v>0</v>
      </c>
      <c r="AY20" s="98" t="e">
        <f>FORECAST(AX20,INDEX($B$3:$B$45,MATCH(AX20,$A$3:$A$45,1)):INDEX($B$3:$B$45,MATCH(AX20,$A$3:$A$45,1)+1),INDEX($A$3:$A$45,MATCH(AX20,$A$3:$A$45,1)):INDEX($A$3:$A$45,MATCH(AX20,$A$3:$A$45,1)+1))</f>
        <v>#N/A</v>
      </c>
      <c r="AZ20" s="97" t="e">
        <f t="shared" si="64"/>
        <v>#N/A</v>
      </c>
      <c r="BA20" s="75">
        <f>SUM('FU Distribution'!AZ82:$AZ$109)+IF('FU Distribution'!$D$112=9,'FU Distribution'!$D$114,0)</f>
        <v>0</v>
      </c>
      <c r="BB20" s="76" t="e">
        <f>FORECAST((SUM(BA20:BA1015)),INDEX($B$3:$B$45,MATCH((SUM(BA20:BA1015)),$A$3:$A$45,1)):INDEX($B$3:$B$45,MATCH((SUM(BA20:BA1015)),$A$3:$A$45,1)+1),INDEX($A$3:$A$45,MATCH((SUM(BA20:BA1015)),$A$3:$A$45,1)):INDEX($A$3:$A$45,MATCH((SUM(BA20:BA1015)),$A$3:$A$45,1)+1))</f>
        <v>#N/A</v>
      </c>
      <c r="BC20" s="77" t="e">
        <f t="shared" si="3"/>
        <v>#N/A</v>
      </c>
      <c r="BD20" s="75">
        <f>SUM('FU Distribution'!BA82:$BA$109)</f>
        <v>0</v>
      </c>
      <c r="BE20" s="76" t="e">
        <f>FORECAST((SUM(BD20:BD1015)),INDEX($B$3:$B$45,MATCH((SUM(BD20:BD1015)),$A$3:$A$45,1)):INDEX($B$3:$B$45,MATCH((SUM(BD20:BD1015)),$A$3:$A$45,1)+1),INDEX($A$3:$A$45,MATCH((SUM(BD20:BD1015)),$A$3:$A$45,1)):INDEX($A$3:$A$45,MATCH((SUM(BD20:BD1015)),$A$3:$A$45,1)+1))</f>
        <v>#N/A</v>
      </c>
      <c r="BF20" s="77" t="e">
        <f t="shared" si="4"/>
        <v>#N/A</v>
      </c>
      <c r="BG20" s="61">
        <f>SUM('FU Distribution'!BC82:$BC$109)+IF('FU Distribution'!$D$112=10,'FU Distribution'!$D$114,0)</f>
        <v>0</v>
      </c>
      <c r="BH20" s="62" t="e">
        <f>FORECAST((SUM(BG20:BG1015)),INDEX($B$3:$B$45,MATCH((SUM(BG20:BG1015)),$A$3:$A$45,1)):INDEX($B$3:$B$45,MATCH((SUM(BG20:BG1015)),$A$3:$A$45,1)+1),INDEX($A$3:$A$45,MATCH((SUM(BG20:BG1015)),$A$3:$A$45,1)):INDEX($A$3:$A$45,MATCH((SUM(BG20:BG1015)),$A$3:$A$45,1)+1))</f>
        <v>#N/A</v>
      </c>
      <c r="BI20" s="74" t="e">
        <f t="shared" si="5"/>
        <v>#N/A</v>
      </c>
      <c r="BJ20" s="61">
        <f>SUM('FU Distribution'!BD82:$BD$109)</f>
        <v>0</v>
      </c>
      <c r="BK20" s="62" t="e">
        <f>FORECAST((SUM(BJ20:BJ1015)),INDEX($B$3:$B$45,MATCH((SUM(BJ20:BJ1015)),$A$3:$A$45,1)):INDEX($B$3:$B$45,MATCH((SUM(BJ20:BJ1015)),$A$3:$A$45,1)+1),INDEX($A$3:$A$45,MATCH((SUM(BJ20:BJ1015)),$A$3:$A$45,1)):INDEX($A$3:$A$45,MATCH((SUM(BJ20:BJ1015)),$A$3:$A$45,1)+1))</f>
        <v>#N/A</v>
      </c>
      <c r="BL20" s="74" t="e">
        <f t="shared" si="6"/>
        <v>#N/A</v>
      </c>
      <c r="BM20" s="75">
        <f>SUM('FU Distribution'!BF82:$BF$109)+IF('FU Distribution'!$D$112=11,'FU Distribution'!$D$114,0)</f>
        <v>0</v>
      </c>
      <c r="BN20" s="76" t="e">
        <f>FORECAST((SUM(BM20:BM1015)),INDEX($B$3:$B$45,MATCH((SUM(BM20:BM1015)),$A$3:$A$45,1)):INDEX($B$3:$B$45,MATCH((SUM(BM20:BM1015)),$A$3:$A$45,1)+1),INDEX($A$3:$A$45,MATCH((SUM(BM20:BM1015)),$A$3:$A$45,1)):INDEX($A$3:$A$45,MATCH((SUM(BM20:BM1015)),$A$3:$A$45,1)+1))</f>
        <v>#N/A</v>
      </c>
      <c r="BO20" s="77" t="e">
        <f t="shared" si="7"/>
        <v>#N/A</v>
      </c>
      <c r="BP20" s="75">
        <f>SUM('FU Distribution'!BG82:$BG$109)</f>
        <v>0</v>
      </c>
      <c r="BQ20" s="76" t="e">
        <f>FORECAST((SUM(BP20:BP1015)),INDEX($B$3:$B$45,MATCH((SUM(BP20:BP1015)),$A$3:$A$45,1)):INDEX($B$3:$B$45,MATCH((SUM(BP20:BP1015)),$A$3:$A$45,1)+1),INDEX($A$3:$A$45,MATCH((SUM(BP20:BP1015)),$A$3:$A$45,1)):INDEX($A$3:$A$45,MATCH((SUM(BP20:BP1015)),$A$3:$A$45,1)+1))</f>
        <v>#N/A</v>
      </c>
      <c r="BR20" s="77" t="e">
        <f t="shared" si="8"/>
        <v>#N/A</v>
      </c>
      <c r="BS20" s="61">
        <f>SUM('FU Distribution'!BI82:$BI$109)+IF('FU Distribution'!$D$112=12,'FU Distribution'!$D$114,0)</f>
        <v>0</v>
      </c>
      <c r="BT20" s="62" t="e">
        <f>FORECAST(BS20,INDEX($B$3:$B$45,MATCH(BS20,$A$3:$A$45,1)):INDEX($B$3:$B$45,MATCH(BS20,$A$3:$A$45,1)+1),INDEX($A$3:$A$45,MATCH(BS20,$A$3:$A$45,1)):INDEX($A$3:$A$45,MATCH(BS20,$A$3:$A$45,1)+1))</f>
        <v>#N/A</v>
      </c>
      <c r="BU20" s="74" t="e">
        <f t="shared" si="9"/>
        <v>#N/A</v>
      </c>
      <c r="BV20" s="61">
        <f>SUM('FU Distribution'!BJ82:$BJ$109)</f>
        <v>0</v>
      </c>
      <c r="BW20" s="62" t="e">
        <f>FORECAST(BV20,INDEX($B$3:$B$45,MATCH(BV20,$A$3:$A$45,1)):INDEX($B$3:$B$45,MATCH(BV20,$A$3:$A$45,1)+1),INDEX($A$3:$A$45,MATCH(BV20,$A$3:$A$45,1)):INDEX($A$3:$A$45,MATCH(BV20,$A$3:$A$45,1)+1))</f>
        <v>#N/A</v>
      </c>
      <c r="BX20" s="74" t="e">
        <f t="shared" si="10"/>
        <v>#N/A</v>
      </c>
      <c r="BY20" s="75">
        <f>SUM('FU Distribution'!BL82:$BL$109)+IF('FU Distribution'!$D$112=13,'FU Distribution'!$D$114,0)</f>
        <v>0</v>
      </c>
      <c r="BZ20" s="76" t="e">
        <f>FORECAST(BY20,INDEX($B$3:$B$45,MATCH(BY20,$A$3:$A$45,1)):INDEX($B$3:$B$45,MATCH(BY20,$A$3:$A$45,1)+1),INDEX($A$3:$A$45,MATCH(BY20,$A$3:$A$45,1)):INDEX($A$3:$A$45,MATCH(BY20,$A$3:$A$45,1)+1))</f>
        <v>#N/A</v>
      </c>
      <c r="CA20" s="77" t="e">
        <f t="shared" si="11"/>
        <v>#N/A</v>
      </c>
      <c r="CB20" s="75">
        <f>SUM('FU Distribution'!BM82:$BM$109)</f>
        <v>0</v>
      </c>
      <c r="CC20" s="76" t="e">
        <f>FORECAST(CB20,INDEX($B$3:$B$45,MATCH(CB20,$A$3:$A$45,1)):INDEX($B$3:$B$45,MATCH(CB20,$A$3:$A$45,1)+1),INDEX($A$3:$A$45,MATCH(CB20,$A$3:$A$45,1)):INDEX($A$3:$A$45,MATCH(CB20,$A$3:$A$45,1)+1))</f>
        <v>#N/A</v>
      </c>
      <c r="CD20" s="77" t="e">
        <f t="shared" si="12"/>
        <v>#N/A</v>
      </c>
      <c r="CE20" s="61">
        <f>SUM('FU Distribution'!BO82:$BO$109)+IF('FU Distribution'!$D$112=13,'FU Distribution'!$D$114,0)</f>
        <v>0</v>
      </c>
      <c r="CF20" s="62" t="e">
        <f>FORECAST(CE20,INDEX($B$3:$B$45,MATCH(CE20,$A$3:$A$45,1)):INDEX($B$3:$B$45,MATCH(CE20,$A$3:$A$45,1)+1),INDEX($A$3:$A$45,MATCH(CE20,$A$3:$A$45,1)):INDEX($A$3:$A$45,MATCH(CE20,$A$3:$A$45,1)+1))</f>
        <v>#N/A</v>
      </c>
      <c r="CG20" s="74" t="e">
        <f t="shared" si="13"/>
        <v>#N/A</v>
      </c>
      <c r="CH20" s="61">
        <f>SUM('FU Distribution'!BP82:$BP$109)</f>
        <v>0</v>
      </c>
      <c r="CI20" s="62" t="e">
        <f>FORECAST(CH20,INDEX($B$3:$B$45,MATCH(CH20,$A$3:$A$45,1)):INDEX($B$3:$B$45,MATCH(CH20,$A$3:$A$45,1)+1),INDEX($A$3:$A$45,MATCH(CH20,$A$3:$A$45,1)):INDEX($A$3:$A$45,MATCH(CH20,$A$3:$A$45,1)+1))</f>
        <v>#N/A</v>
      </c>
      <c r="CJ20" s="74" t="e">
        <f t="shared" si="14"/>
        <v>#N/A</v>
      </c>
    </row>
    <row r="21" spans="1:88" x14ac:dyDescent="0.25">
      <c r="A21" s="2">
        <v>170</v>
      </c>
      <c r="B21" s="2">
        <v>60</v>
      </c>
      <c r="C21" s="63"/>
      <c r="D21" s="52">
        <v>17</v>
      </c>
      <c r="E21" s="61">
        <f>SUM('FU Distribution'!AB83:$AB$109)+IF('FU Distribution'!$D$112=1,'FU Distribution'!$D$114,0)</f>
        <v>0</v>
      </c>
      <c r="F21" s="98" t="e">
        <f>FORECAST((SUM(E21:E1016)),INDEX($B$3:$B$45,MATCH((SUM(E21:E1016)),$A$3:$A$45,1)):INDEX($B$3:$B$45,MATCH((SUM(E21:E1016)),$A$3:$A$45,1)+1),INDEX($A$3:$A$45,MATCH((SUM(E21:E1016)),$A$3:$A$45,1)):INDEX($A$3:$A$45,MATCH((SUM(E21:E1016)),$A$3:$A$45,1)+1))</f>
        <v>#N/A</v>
      </c>
      <c r="G21" s="99" t="e">
        <f t="shared" si="51"/>
        <v>#N/A</v>
      </c>
      <c r="H21" s="61">
        <f>SUM('FU Distribution'!AC83:$AC$109)</f>
        <v>0</v>
      </c>
      <c r="I21" s="98" t="e">
        <f>FORECAST((SUM(H21:H1016)),INDEX($B$3:$B$45,MATCH((SUM(H21:H1016)),$A$3:$A$45,1)):INDEX($B$3:$B$45,MATCH((SUM(H21:H1016)),$A$3:$A$45,1)+1),INDEX($A$3:$A$45,MATCH((SUM(H21:H1016)),$A$3:$A$45,1)):INDEX($A$3:$A$45,MATCH((SUM(H21:H1016)),$A$3:$A$45,1)+1))</f>
        <v>#N/A</v>
      </c>
      <c r="J21" s="99" t="e">
        <f t="shared" si="52"/>
        <v>#N/A</v>
      </c>
      <c r="K21" s="75">
        <f>SUM('FU Distribution'!AE83:$AE$109)+IF('FU Distribution'!$D$112=2,'FU Distribution'!$D$114,0)</f>
        <v>0</v>
      </c>
      <c r="L21" s="100" t="e">
        <f>FORECAST((SUM(K21:K1016)),INDEX($B$3:$B$45,MATCH((SUM(K21:K1016)),$A$3:$A$45,1)):INDEX($B$3:$B$45,MATCH((SUM(K21:K1016)),$A$3:$A$45,1)+1),INDEX($A$3:$A$45,MATCH((SUM(K21:K1016)),$A$3:$A$45,1)):INDEX($A$3:$A$45,MATCH((SUM(K21:K1016)),$A$3:$A$45,1)+1))</f>
        <v>#N/A</v>
      </c>
      <c r="M21" s="101" t="e">
        <f t="shared" si="53"/>
        <v>#N/A</v>
      </c>
      <c r="N21" s="75">
        <f>SUM('FU Distribution'!AF83:$AF$109)</f>
        <v>0</v>
      </c>
      <c r="O21" s="100" t="e">
        <f>FORECAST((SUM(N21:N1016)),INDEX($B$3:$B$45,MATCH((SUM(N21:N1016)),$A$3:$A$45,1)):INDEX($B$3:$B$45,MATCH((SUM(N21:N1016)),$A$3:$A$45,1)+1),INDEX($A$3:$A$45,MATCH((SUM(N21:N1016)),$A$3:$A$45,1)):INDEX($A$3:$A$45,MATCH((SUM(N21:N1016)),$A$3:$A$45,1)+1))</f>
        <v>#N/A</v>
      </c>
      <c r="P21" s="101" t="e">
        <f t="shared" si="54"/>
        <v>#N/A</v>
      </c>
      <c r="Q21" s="61">
        <f>SUM('FU Distribution'!AH83:$AH$109)+IF('FU Distribution'!$D$112=3,'FU Distribution'!$D$114,0)</f>
        <v>0</v>
      </c>
      <c r="R21" s="98" t="e">
        <f>FORECAST((SUM(Q21:Q1016)),INDEX($B$3:$B$45,MATCH((SUM(Q21:Q1016)),$A$3:$A$45,1)):INDEX($B$3:$B$45,MATCH((SUM(Q21:Q1016)),$A$3:$A$45,1)+1),INDEX($A$3:$A$45,MATCH((SUM(Q21:Q1016)),$A$3:$A$45,1)):INDEX($A$3:$A$45,MATCH((SUM(Q21:Q1016)),$A$3:$A$45,1)+1))</f>
        <v>#N/A</v>
      </c>
      <c r="S21" s="99" t="e">
        <f t="shared" si="55"/>
        <v>#N/A</v>
      </c>
      <c r="T21" s="61">
        <f>SUM('FU Distribution'!AI83:$AI$109)</f>
        <v>0</v>
      </c>
      <c r="U21" s="98" t="e">
        <f>FORECAST((SUM(T21:T1016)),INDEX($B$3:$B$45,MATCH((SUM(T21:T1016)),$A$3:$A$45,1)):INDEX($B$3:$B$45,MATCH((SUM(T21:T1016)),$A$3:$A$45,1)+1),INDEX($A$3:$A$45,MATCH((SUM(T21:T1016)),$A$3:$A$45,1)):INDEX($A$3:$A$45,MATCH((SUM(T21:T1016)),$A$3:$A$45,1)+1))</f>
        <v>#N/A</v>
      </c>
      <c r="V21" s="99" t="e">
        <f t="shared" si="0"/>
        <v>#N/A</v>
      </c>
      <c r="W21" s="75">
        <f>SUM('FU Distribution'!AK83:$AK$109)+IF('FU Distribution'!$D$112=4,'FU Distribution'!$D$114,0)</f>
        <v>0</v>
      </c>
      <c r="X21" s="100" t="e">
        <f>FORECAST((SUM(W21:W1016)),INDEX($B$3:$B$45,MATCH((SUM(W21:W1016)),$A$3:$A$45,1)):INDEX($B$3:$B$45,MATCH((SUM(W21:W1016)),$A$3:$A$45,1)+1),INDEX($A$3:$A$45,MATCH((SUM(W21:W1016)),$A$3:$A$45,1)):INDEX($A$3:$A$45,MATCH((SUM(W21:W1016)),$A$3:$A$45,1)+1))</f>
        <v>#N/A</v>
      </c>
      <c r="Y21" s="101" t="e">
        <f t="shared" si="1"/>
        <v>#N/A</v>
      </c>
      <c r="Z21" s="75">
        <f>SUM('FU Distribution'!AL83:$AL$109)</f>
        <v>0</v>
      </c>
      <c r="AA21" s="100" t="e">
        <f>FORECAST((SUM(Z21:Z1016)),INDEX($B$3:$B$45,MATCH((SUM(Z21:Z1016)),$A$3:$A$45,1)):INDEX($B$3:$B$45,MATCH((SUM(Z21:Z1016)),$A$3:$A$45,1)+1),INDEX($A$3:$A$45,MATCH((SUM(Z21:Z1016)),$A$3:$A$45,1)):INDEX($A$3:$A$45,MATCH((SUM(Z21:Z1016)),$A$3:$A$45,1)+1))</f>
        <v>#N/A</v>
      </c>
      <c r="AB21" s="101" t="e">
        <f t="shared" si="56"/>
        <v>#N/A</v>
      </c>
      <c r="AC21" s="61">
        <f>SUM('FU Distribution'!AN83:$AN$109)+IF('FU Distribution'!$D$112=5,'FU Distribution'!$D$114,0)</f>
        <v>0</v>
      </c>
      <c r="AD21" s="98" t="e">
        <f>FORECAST((SUM(AC21:AC1016)),INDEX($B$3:$B$45,MATCH((SUM(AC21:AC1016)),$A$3:$A$45,1)):INDEX($B$3:$B$45,MATCH((SUM(AC21:AC1016)),$A$3:$A$45,1)+1),INDEX($A$3:$A$45,MATCH((SUM(AC21:AC1016)),$A$3:$A$45,1)):INDEX($A$3:$A$45,MATCH((SUM(AC21:AC1016)),$A$3:$A$45,1)+1))</f>
        <v>#N/A</v>
      </c>
      <c r="AE21" s="99" t="e">
        <f t="shared" si="57"/>
        <v>#N/A</v>
      </c>
      <c r="AF21" s="61">
        <f>SUM('FU Distribution'!AO83:$AO$109)</f>
        <v>0</v>
      </c>
      <c r="AG21" s="98" t="e">
        <f>FORECAST((SUM(AF21:AF1016)),INDEX($B$3:$B$45,MATCH((SUM(AF21:AF1016)),$A$3:$A$45,1)):INDEX($B$3:$B$45,MATCH((SUM(AF21:AF1016)),$A$3:$A$45,1)+1),INDEX($A$3:$A$45,MATCH((SUM(AF21:AF1016)),$A$3:$A$45,1)):INDEX($A$3:$A$45,MATCH((SUM(AF21:AF1016)),$A$3:$A$45,1)+1))</f>
        <v>#N/A</v>
      </c>
      <c r="AH21" s="99" t="e">
        <f t="shared" si="58"/>
        <v>#N/A</v>
      </c>
      <c r="AI21" s="75">
        <f>SUM('FU Distribution'!AQ83:$AQ$109)+IF('FU Distribution'!$D$112=6,'FU Distribution'!$D$114,0)</f>
        <v>0</v>
      </c>
      <c r="AJ21" s="100" t="e">
        <f>FORECAST((SUM(AI21:AI1016)),INDEX($B$3:$B$45,MATCH((SUM(AI21:AI1016)),$A$3:$A$45,1)):INDEX($B$3:$B$45,MATCH((SUM(AI21:AI1016)),$A$3:$A$45,1)+1),INDEX($A$3:$A$45,MATCH((SUM(AI21:AI1016)),$A$3:$A$45,1)):INDEX($A$3:$A$45,MATCH((SUM(AI21:AI1016)),$A$3:$A$45,1)+1))</f>
        <v>#N/A</v>
      </c>
      <c r="AK21" s="101" t="e">
        <f t="shared" si="59"/>
        <v>#N/A</v>
      </c>
      <c r="AL21" s="75">
        <f>SUM('FU Distribution'!AR83:$AR$109)</f>
        <v>0</v>
      </c>
      <c r="AM21" s="100" t="e">
        <f>FORECAST((SUM(AL21:AL1016)),INDEX($B$3:$B$45,MATCH((SUM(AL21:AL1016)),$A$3:$A$45,1)):INDEX($B$3:$B$45,MATCH((SUM(AL21:AL1016)),$A$3:$A$45,1)+1),INDEX($A$3:$A$45,MATCH((SUM(AL21:AL1016)),$A$3:$A$45,1)):INDEX($A$3:$A$45,MATCH((SUM(AL21:AL1016)),$A$3:$A$45,1)+1))</f>
        <v>#N/A</v>
      </c>
      <c r="AN21" s="101" t="e">
        <f t="shared" si="60"/>
        <v>#N/A</v>
      </c>
      <c r="AO21" s="61">
        <f>SUM('FU Distribution'!AT83:$AT$109)+IF('FU Distribution'!$D$112=7,'FU Distribution'!$D$114,0)</f>
        <v>0</v>
      </c>
      <c r="AP21" s="98" t="e">
        <f>FORECAST((SUM(AO21:AO1016)),INDEX($B$3:$B$45,MATCH((SUM(AO21:AO1016)),$A$3:$A$45,1)):INDEX($B$3:$B$45,MATCH((SUM(AO21:AO1016)),$A$3:$A$45,1)+1),INDEX($A$3:$A$45,MATCH((SUM(AO21:AO1016)),$A$3:$A$45,1)):INDEX($A$3:$A$45,MATCH((SUM(AO21:AO1016)),$A$3:$A$45,1)+1))</f>
        <v>#N/A</v>
      </c>
      <c r="AQ21" s="99" t="e">
        <f t="shared" si="61"/>
        <v>#N/A</v>
      </c>
      <c r="AR21" s="61">
        <f>SUM('FU Distribution'!AU83:$AU$109)</f>
        <v>0</v>
      </c>
      <c r="AS21" s="98" t="e">
        <f>FORECAST((SUM(AR21:AR1016)),INDEX($B$3:$B$45,MATCH((SUM(AR21:AR1016)),$A$3:$A$45,1)):INDEX($B$3:$B$45,MATCH((SUM(AR21:AR1016)),$A$3:$A$45,1)+1),INDEX($A$3:$A$45,MATCH((SUM(AR21:AR1016)),$A$3:$A$45,1)):INDEX($A$3:$A$45,MATCH((SUM(AR21:AR1016)),$A$3:$A$45,1)+1))</f>
        <v>#N/A</v>
      </c>
      <c r="AT21" s="99" t="e">
        <f t="shared" si="62"/>
        <v>#N/A</v>
      </c>
      <c r="AU21" s="61">
        <f>SUM('FU Distribution'!AW83:$AW$109)+IF('FU Distribution'!$D$112=8,'FU Distribution'!$D$114,0)</f>
        <v>0</v>
      </c>
      <c r="AV21" s="98" t="e">
        <f>FORECAST(AU21,INDEX($B$3:$B$45,MATCH(AU21,$A$3:$A$45,1)):INDEX($B$3:$B$45,MATCH(AU21,$A$3:$A$45,1)+1),INDEX($A$3:$A$45,MATCH(AU21,$A$3:$A$45,1)):INDEX($A$3:$A$45,MATCH(AU21,$A$3:$A$45,1)+1))</f>
        <v>#N/A</v>
      </c>
      <c r="AW21" s="99" t="e">
        <f t="shared" si="63"/>
        <v>#N/A</v>
      </c>
      <c r="AX21" s="61">
        <f>SUM('FU Distribution'!AX83:$AX$109)</f>
        <v>0</v>
      </c>
      <c r="AY21" s="98" t="e">
        <f>FORECAST(AX21,INDEX($B$3:$B$45,MATCH(AX21,$A$3:$A$45,1)):INDEX($B$3:$B$45,MATCH(AX21,$A$3:$A$45,1)+1),INDEX($A$3:$A$45,MATCH(AX21,$A$3:$A$45,1)):INDEX($A$3:$A$45,MATCH(AX21,$A$3:$A$45,1)+1))</f>
        <v>#N/A</v>
      </c>
      <c r="AZ21" s="99" t="e">
        <f t="shared" si="64"/>
        <v>#N/A</v>
      </c>
      <c r="BA21" s="75">
        <f>SUM('FU Distribution'!AZ83:$AZ$109)+IF('FU Distribution'!$D$112=9,'FU Distribution'!$D$114,0)</f>
        <v>0</v>
      </c>
      <c r="BB21" s="76" t="e">
        <f>FORECAST((SUM(BA21:BA1016)),INDEX($B$3:$B$45,MATCH((SUM(BA21:BA1016)),$A$3:$A$45,1)):INDEX($B$3:$B$45,MATCH((SUM(BA21:BA1016)),$A$3:$A$45,1)+1),INDEX($A$3:$A$45,MATCH((SUM(BA21:BA1016)),$A$3:$A$45,1)):INDEX($A$3:$A$45,MATCH((SUM(BA21:BA1016)),$A$3:$A$45,1)+1))</f>
        <v>#N/A</v>
      </c>
      <c r="BC21" s="77" t="e">
        <f t="shared" si="3"/>
        <v>#N/A</v>
      </c>
      <c r="BD21" s="75">
        <f>SUM('FU Distribution'!BA83:$BA$109)</f>
        <v>0</v>
      </c>
      <c r="BE21" s="76" t="e">
        <f>FORECAST((SUM(BD21:BD1016)),INDEX($B$3:$B$45,MATCH((SUM(BD21:BD1016)),$A$3:$A$45,1)):INDEX($B$3:$B$45,MATCH((SUM(BD21:BD1016)),$A$3:$A$45,1)+1),INDEX($A$3:$A$45,MATCH((SUM(BD21:BD1016)),$A$3:$A$45,1)):INDEX($A$3:$A$45,MATCH((SUM(BD21:BD1016)),$A$3:$A$45,1)+1))</f>
        <v>#N/A</v>
      </c>
      <c r="BF21" s="77" t="e">
        <f t="shared" si="4"/>
        <v>#N/A</v>
      </c>
      <c r="BG21" s="61">
        <f>SUM('FU Distribution'!BC83:$BC$109)+IF('FU Distribution'!$D$112=10,'FU Distribution'!$D$114,0)</f>
        <v>0</v>
      </c>
      <c r="BH21" s="62" t="e">
        <f>FORECAST((SUM(BG21:BG1016)),INDEX($B$3:$B$45,MATCH((SUM(BG21:BG1016)),$A$3:$A$45,1)):INDEX($B$3:$B$45,MATCH((SUM(BG21:BG1016)),$A$3:$A$45,1)+1),INDEX($A$3:$A$45,MATCH((SUM(BG21:BG1016)),$A$3:$A$45,1)):INDEX($A$3:$A$45,MATCH((SUM(BG21:BG1016)),$A$3:$A$45,1)+1))</f>
        <v>#N/A</v>
      </c>
      <c r="BI21" s="74" t="e">
        <f t="shared" si="5"/>
        <v>#N/A</v>
      </c>
      <c r="BJ21" s="61">
        <f>SUM('FU Distribution'!BD83:$BD$109)</f>
        <v>0</v>
      </c>
      <c r="BK21" s="62" t="e">
        <f>FORECAST((SUM(BJ21:BJ1016)),INDEX($B$3:$B$45,MATCH((SUM(BJ21:BJ1016)),$A$3:$A$45,1)):INDEX($B$3:$B$45,MATCH((SUM(BJ21:BJ1016)),$A$3:$A$45,1)+1),INDEX($A$3:$A$45,MATCH((SUM(BJ21:BJ1016)),$A$3:$A$45,1)):INDEX($A$3:$A$45,MATCH((SUM(BJ21:BJ1016)),$A$3:$A$45,1)+1))</f>
        <v>#N/A</v>
      </c>
      <c r="BL21" s="74" t="e">
        <f t="shared" si="6"/>
        <v>#N/A</v>
      </c>
      <c r="BM21" s="75">
        <f>SUM('FU Distribution'!BF83:$BF$109)+IF('FU Distribution'!$D$112=11,'FU Distribution'!$D$114,0)</f>
        <v>0</v>
      </c>
      <c r="BN21" s="76" t="e">
        <f>FORECAST((SUM(BM21:BM1016)),INDEX($B$3:$B$45,MATCH((SUM(BM21:BM1016)),$A$3:$A$45,1)):INDEX($B$3:$B$45,MATCH((SUM(BM21:BM1016)),$A$3:$A$45,1)+1),INDEX($A$3:$A$45,MATCH((SUM(BM21:BM1016)),$A$3:$A$45,1)):INDEX($A$3:$A$45,MATCH((SUM(BM21:BM1016)),$A$3:$A$45,1)+1))</f>
        <v>#N/A</v>
      </c>
      <c r="BO21" s="77" t="e">
        <f t="shared" si="7"/>
        <v>#N/A</v>
      </c>
      <c r="BP21" s="75">
        <f>SUM('FU Distribution'!BG83:$BG$109)</f>
        <v>0</v>
      </c>
      <c r="BQ21" s="76" t="e">
        <f>FORECAST((SUM(BP21:BP1016)),INDEX($B$3:$B$45,MATCH((SUM(BP21:BP1016)),$A$3:$A$45,1)):INDEX($B$3:$B$45,MATCH((SUM(BP21:BP1016)),$A$3:$A$45,1)+1),INDEX($A$3:$A$45,MATCH((SUM(BP21:BP1016)),$A$3:$A$45,1)):INDEX($A$3:$A$45,MATCH((SUM(BP21:BP1016)),$A$3:$A$45,1)+1))</f>
        <v>#N/A</v>
      </c>
      <c r="BR21" s="77" t="e">
        <f t="shared" si="8"/>
        <v>#N/A</v>
      </c>
      <c r="BS21" s="61">
        <f>SUM('FU Distribution'!BI83:$BI$109)+IF('FU Distribution'!$D$112=12,'FU Distribution'!$D$114,0)</f>
        <v>0</v>
      </c>
      <c r="BT21" s="62" t="e">
        <f>FORECAST(BS21,INDEX($B$3:$B$45,MATCH(BS21,$A$3:$A$45,1)):INDEX($B$3:$B$45,MATCH(BS21,$A$3:$A$45,1)+1),INDEX($A$3:$A$45,MATCH(BS21,$A$3:$A$45,1)):INDEX($A$3:$A$45,MATCH(BS21,$A$3:$A$45,1)+1))</f>
        <v>#N/A</v>
      </c>
      <c r="BU21" s="74" t="e">
        <f t="shared" si="9"/>
        <v>#N/A</v>
      </c>
      <c r="BV21" s="61">
        <f>SUM('FU Distribution'!BJ83:$BJ$109)</f>
        <v>0</v>
      </c>
      <c r="BW21" s="62" t="e">
        <f>FORECAST(BV21,INDEX($B$3:$B$45,MATCH(BV21,$A$3:$A$45,1)):INDEX($B$3:$B$45,MATCH(BV21,$A$3:$A$45,1)+1),INDEX($A$3:$A$45,MATCH(BV21,$A$3:$A$45,1)):INDEX($A$3:$A$45,MATCH(BV21,$A$3:$A$45,1)+1))</f>
        <v>#N/A</v>
      </c>
      <c r="BX21" s="74" t="e">
        <f t="shared" si="10"/>
        <v>#N/A</v>
      </c>
      <c r="BY21" s="75">
        <f>SUM('FU Distribution'!BL83:$BL$109)+IF('FU Distribution'!$D$112=13,'FU Distribution'!$D$114,0)</f>
        <v>0</v>
      </c>
      <c r="BZ21" s="76" t="e">
        <f>FORECAST(BY21,INDEX($B$3:$B$45,MATCH(BY21,$A$3:$A$45,1)):INDEX($B$3:$B$45,MATCH(BY21,$A$3:$A$45,1)+1),INDEX($A$3:$A$45,MATCH(BY21,$A$3:$A$45,1)):INDEX($A$3:$A$45,MATCH(BY21,$A$3:$A$45,1)+1))</f>
        <v>#N/A</v>
      </c>
      <c r="CA21" s="77" t="e">
        <f t="shared" si="11"/>
        <v>#N/A</v>
      </c>
      <c r="CB21" s="75">
        <f>SUM('FU Distribution'!BM83:$BM$109)</f>
        <v>0</v>
      </c>
      <c r="CC21" s="76" t="e">
        <f>FORECAST(CB21,INDEX($B$3:$B$45,MATCH(CB21,$A$3:$A$45,1)):INDEX($B$3:$B$45,MATCH(CB21,$A$3:$A$45,1)+1),INDEX($A$3:$A$45,MATCH(CB21,$A$3:$A$45,1)):INDEX($A$3:$A$45,MATCH(CB21,$A$3:$A$45,1)+1))</f>
        <v>#N/A</v>
      </c>
      <c r="CD21" s="77" t="e">
        <f t="shared" si="12"/>
        <v>#N/A</v>
      </c>
      <c r="CE21" s="61">
        <f>SUM('FU Distribution'!BO83:$BO$109)+IF('FU Distribution'!$D$112=13,'FU Distribution'!$D$114,0)</f>
        <v>0</v>
      </c>
      <c r="CF21" s="62" t="e">
        <f>FORECAST(CE21,INDEX($B$3:$B$45,MATCH(CE21,$A$3:$A$45,1)):INDEX($B$3:$B$45,MATCH(CE21,$A$3:$A$45,1)+1),INDEX($A$3:$A$45,MATCH(CE21,$A$3:$A$45,1)):INDEX($A$3:$A$45,MATCH(CE21,$A$3:$A$45,1)+1))</f>
        <v>#N/A</v>
      </c>
      <c r="CG21" s="74" t="e">
        <f t="shared" si="13"/>
        <v>#N/A</v>
      </c>
      <c r="CH21" s="61">
        <f>SUM('FU Distribution'!BP83:$BP$109)</f>
        <v>0</v>
      </c>
      <c r="CI21" s="62" t="e">
        <f>FORECAST(CH21,INDEX($B$3:$B$45,MATCH(CH21,$A$3:$A$45,1)):INDEX($B$3:$B$45,MATCH(CH21,$A$3:$A$45,1)+1),INDEX($A$3:$A$45,MATCH(CH21,$A$3:$A$45,1)):INDEX($A$3:$A$45,MATCH(CH21,$A$3:$A$45,1)+1))</f>
        <v>#N/A</v>
      </c>
      <c r="CJ21" s="74" t="e">
        <f t="shared" si="14"/>
        <v>#N/A</v>
      </c>
    </row>
    <row r="22" spans="1:88" x14ac:dyDescent="0.25">
      <c r="A22" s="2">
        <v>180</v>
      </c>
      <c r="B22" s="2">
        <v>62</v>
      </c>
      <c r="C22" s="63"/>
      <c r="D22" s="52">
        <v>18</v>
      </c>
      <c r="E22" s="61">
        <f>SUM('FU Distribution'!AB84:$AB$109)+IF('FU Distribution'!$D$112=1,'FU Distribution'!$D$114,0)</f>
        <v>0</v>
      </c>
      <c r="F22" s="96" t="e">
        <f>FORECAST((SUM(E22:E1016)),INDEX($B$3:$B$45,MATCH((SUM(E22:E1016)),$A$3:$A$45,1)):INDEX($B$3:$B$45,MATCH((SUM(E22:E1016)),$A$3:$A$45,1)+1),INDEX($A$3:$A$45,MATCH((SUM(E22:E1016)),$A$3:$A$45,1)):INDEX($A$3:$A$45,MATCH((SUM(E22:E1016)),$A$3:$A$45,1)+1))</f>
        <v>#N/A</v>
      </c>
      <c r="G22" s="97" t="e">
        <f t="shared" si="51"/>
        <v>#N/A</v>
      </c>
      <c r="H22" s="61">
        <f>SUM('FU Distribution'!AC84:$AC$109)</f>
        <v>0</v>
      </c>
      <c r="I22" s="96" t="e">
        <f>FORECAST((SUM(H22:H1017)),INDEX($B$3:$B$45,MATCH((SUM(H22:H1017)),$A$3:$A$45,1)):INDEX($B$3:$B$45,MATCH((SUM(H22:H1017)),$A$3:$A$45,1)+1),INDEX($A$3:$A$45,MATCH((SUM(H22:H1017)),$A$3:$A$45,1)):INDEX($A$3:$A$45,MATCH((SUM(H22:H1017)),$A$3:$A$45,1)+1))</f>
        <v>#N/A</v>
      </c>
      <c r="J22" s="97" t="e">
        <f t="shared" si="52"/>
        <v>#N/A</v>
      </c>
      <c r="K22" s="75">
        <f>SUM('FU Distribution'!AE84:$AE$109)+IF('FU Distribution'!$D$112=2,'FU Distribution'!$D$114,0)</f>
        <v>0</v>
      </c>
      <c r="L22" s="96" t="e">
        <f>FORECAST((SUM(K22:K1017)),INDEX($B$3:$B$45,MATCH((SUM(K22:K1017)),$A$3:$A$45,1)):INDEX($B$3:$B$45,MATCH((SUM(K22:K1017)),$A$3:$A$45,1)+1),INDEX($A$3:$A$45,MATCH((SUM(K22:K1017)),$A$3:$A$45,1)):INDEX($A$3:$A$45,MATCH((SUM(K22:K1017)),$A$3:$A$45,1)+1))</f>
        <v>#N/A</v>
      </c>
      <c r="M22" s="97" t="e">
        <f t="shared" si="53"/>
        <v>#N/A</v>
      </c>
      <c r="N22" s="75">
        <f>SUM('FU Distribution'!AF84:$AF$109)</f>
        <v>0</v>
      </c>
      <c r="O22" s="96" t="e">
        <f>FORECAST((SUM(N22:N1017)),INDEX($B$3:$B$45,MATCH((SUM(N22:N1017)),$A$3:$A$45,1)):INDEX($B$3:$B$45,MATCH((SUM(N22:N1017)),$A$3:$A$45,1)+1),INDEX($A$3:$A$45,MATCH((SUM(N22:N1017)),$A$3:$A$45,1)):INDEX($A$3:$A$45,MATCH((SUM(N22:N1017)),$A$3:$A$45,1)+1))</f>
        <v>#N/A</v>
      </c>
      <c r="P22" s="97" t="e">
        <f t="shared" si="54"/>
        <v>#N/A</v>
      </c>
      <c r="Q22" s="61">
        <f>SUM('FU Distribution'!AH84:$AH$109)+IF('FU Distribution'!$D$112=3,'FU Distribution'!$D$114,0)</f>
        <v>0</v>
      </c>
      <c r="R22" s="96" t="e">
        <f>FORECAST((SUM(Q22:Q1017)),INDEX($B$3:$B$45,MATCH((SUM(Q22:Q1017)),$A$3:$A$45,1)):INDEX($B$3:$B$45,MATCH((SUM(Q22:Q1017)),$A$3:$A$45,1)+1),INDEX($A$3:$A$45,MATCH((SUM(Q22:Q1017)),$A$3:$A$45,1)):INDEX($A$3:$A$45,MATCH((SUM(Q22:Q1017)),$A$3:$A$45,1)+1))</f>
        <v>#N/A</v>
      </c>
      <c r="S22" s="97" t="e">
        <f t="shared" si="55"/>
        <v>#N/A</v>
      </c>
      <c r="T22" s="61">
        <f>SUM('FU Distribution'!AI84:$AI$109)</f>
        <v>0</v>
      </c>
      <c r="U22" s="96" t="e">
        <f>FORECAST((SUM(T22:T1017)),INDEX($B$3:$B$45,MATCH((SUM(T22:T1017)),$A$3:$A$45,1)):INDEX($B$3:$B$45,MATCH((SUM(T22:T1017)),$A$3:$A$45,1)+1),INDEX($A$3:$A$45,MATCH((SUM(T22:T1017)),$A$3:$A$45,1)):INDEX($A$3:$A$45,MATCH((SUM(T22:T1017)),$A$3:$A$45,1)+1))</f>
        <v>#N/A</v>
      </c>
      <c r="V22" s="97" t="e">
        <f t="shared" si="0"/>
        <v>#N/A</v>
      </c>
      <c r="W22" s="75">
        <f>SUM('FU Distribution'!AK84:$AK$109)+IF('FU Distribution'!$D$112=4,'FU Distribution'!$D$114,0)</f>
        <v>0</v>
      </c>
      <c r="X22" s="96" t="e">
        <f>FORECAST((SUM(W22:W1017)),INDEX($B$3:$B$45,MATCH((SUM(W22:W1017)),$A$3:$A$45,1)):INDEX($B$3:$B$45,MATCH((SUM(W22:W1017)),$A$3:$A$45,1)+1),INDEX($A$3:$A$45,MATCH((SUM(W22:W1017)),$A$3:$A$45,1)):INDEX($A$3:$A$45,MATCH((SUM(W22:W1017)),$A$3:$A$45,1)+1))</f>
        <v>#N/A</v>
      </c>
      <c r="Y22" s="97" t="e">
        <f t="shared" si="1"/>
        <v>#N/A</v>
      </c>
      <c r="Z22" s="75">
        <f>SUM('FU Distribution'!AL84:$AL$109)</f>
        <v>0</v>
      </c>
      <c r="AA22" s="96" t="e">
        <f>FORECAST((SUM(Z22:Z1017)),INDEX($B$3:$B$45,MATCH((SUM(Z22:Z1017)),$A$3:$A$45,1)):INDEX($B$3:$B$45,MATCH((SUM(Z22:Z1017)),$A$3:$A$45,1)+1),INDEX($A$3:$A$45,MATCH((SUM(Z22:Z1017)),$A$3:$A$45,1)):INDEX($A$3:$A$45,MATCH((SUM(Z22:Z1017)),$A$3:$A$45,1)+1))</f>
        <v>#N/A</v>
      </c>
      <c r="AB22" s="97" t="e">
        <f t="shared" si="56"/>
        <v>#N/A</v>
      </c>
      <c r="AC22" s="61">
        <f>SUM('FU Distribution'!AN84:$AN$109)+IF('FU Distribution'!$D$112=5,'FU Distribution'!$D$114,0)</f>
        <v>0</v>
      </c>
      <c r="AD22" s="96" t="e">
        <f>FORECAST((SUM(AC22:AC1017)),INDEX($B$3:$B$45,MATCH((SUM(AC22:AC1017)),$A$3:$A$45,1)):INDEX($B$3:$B$45,MATCH((SUM(AC22:AC1017)),$A$3:$A$45,1)+1),INDEX($A$3:$A$45,MATCH((SUM(AC22:AC1017)),$A$3:$A$45,1)):INDEX($A$3:$A$45,MATCH((SUM(AC22:AC1017)),$A$3:$A$45,1)+1))</f>
        <v>#N/A</v>
      </c>
      <c r="AE22" s="97" t="e">
        <f t="shared" si="57"/>
        <v>#N/A</v>
      </c>
      <c r="AF22" s="61">
        <f>SUM('FU Distribution'!AO84:$AO$109)</f>
        <v>0</v>
      </c>
      <c r="AG22" s="96" t="e">
        <f>FORECAST((SUM(AF22:AF1017)),INDEX($B$3:$B$45,MATCH((SUM(AF22:AF1017)),$A$3:$A$45,1)):INDEX($B$3:$B$45,MATCH((SUM(AF22:AF1017)),$A$3:$A$45,1)+1),INDEX($A$3:$A$45,MATCH((SUM(AF22:AF1017)),$A$3:$A$45,1)):INDEX($A$3:$A$45,MATCH((SUM(AF22:AF1017)),$A$3:$A$45,1)+1))</f>
        <v>#N/A</v>
      </c>
      <c r="AH22" s="97" t="e">
        <f t="shared" si="58"/>
        <v>#N/A</v>
      </c>
      <c r="AI22" s="75">
        <f>SUM('FU Distribution'!AQ84:$AQ$109)+IF('FU Distribution'!$D$112=6,'FU Distribution'!$D$114,0)</f>
        <v>0</v>
      </c>
      <c r="AJ22" s="96" t="e">
        <f>FORECAST((SUM(AI22:AI1017)),INDEX($B$3:$B$45,MATCH((SUM(AI22:AI1017)),$A$3:$A$45,1)):INDEX($B$3:$B$45,MATCH((SUM(AI22:AI1017)),$A$3:$A$45,1)+1),INDEX($A$3:$A$45,MATCH((SUM(AI22:AI1017)),$A$3:$A$45,1)):INDEX($A$3:$A$45,MATCH((SUM(AI22:AI1017)),$A$3:$A$45,1)+1))</f>
        <v>#N/A</v>
      </c>
      <c r="AK22" s="97" t="e">
        <f t="shared" si="59"/>
        <v>#N/A</v>
      </c>
      <c r="AL22" s="75">
        <f>SUM('FU Distribution'!AR84:$AR$109)</f>
        <v>0</v>
      </c>
      <c r="AM22" s="96" t="e">
        <f>FORECAST((SUM(AL22:AL1017)),INDEX($B$3:$B$45,MATCH((SUM(AL22:AL1017)),$A$3:$A$45,1)):INDEX($B$3:$B$45,MATCH((SUM(AL22:AL1017)),$A$3:$A$45,1)+1),INDEX($A$3:$A$45,MATCH((SUM(AL22:AL1017)),$A$3:$A$45,1)):INDEX($A$3:$A$45,MATCH((SUM(AL22:AL1017)),$A$3:$A$45,1)+1))</f>
        <v>#N/A</v>
      </c>
      <c r="AN22" s="97" t="e">
        <f t="shared" si="60"/>
        <v>#N/A</v>
      </c>
      <c r="AO22" s="61">
        <f>SUM('FU Distribution'!AT84:$AT$109)+IF('FU Distribution'!$D$112=7,'FU Distribution'!$D$114,0)</f>
        <v>0</v>
      </c>
      <c r="AP22" s="96" t="e">
        <f>FORECAST((SUM(AO22:AO1017)),INDEX($B$3:$B$45,MATCH((SUM(AO22:AO1017)),$A$3:$A$45,1)):INDEX($B$3:$B$45,MATCH((SUM(AO22:AO1017)),$A$3:$A$45,1)+1),INDEX($A$3:$A$45,MATCH((SUM(AO22:AO1017)),$A$3:$A$45,1)):INDEX($A$3:$A$45,MATCH((SUM(AO22:AO1017)),$A$3:$A$45,1)+1))</f>
        <v>#N/A</v>
      </c>
      <c r="AQ22" s="97" t="e">
        <f t="shared" si="61"/>
        <v>#N/A</v>
      </c>
      <c r="AR22" s="61">
        <f>SUM('FU Distribution'!AU84:$AU$109)</f>
        <v>0</v>
      </c>
      <c r="AS22" s="96" t="e">
        <f>FORECAST((SUM(AR22:AR1017)),INDEX($B$3:$B$45,MATCH((SUM(AR22:AR1017)),$A$3:$A$45,1)):INDEX($B$3:$B$45,MATCH((SUM(AR22:AR1017)),$A$3:$A$45,1)+1),INDEX($A$3:$A$45,MATCH((SUM(AR22:AR1017)),$A$3:$A$45,1)):INDEX($A$3:$A$45,MATCH((SUM(AR22:AR1017)),$A$3:$A$45,1)+1))</f>
        <v>#N/A</v>
      </c>
      <c r="AT22" s="97" t="e">
        <f t="shared" si="62"/>
        <v>#N/A</v>
      </c>
      <c r="AU22" s="61">
        <f>SUM('FU Distribution'!AW84:$AW$109)+IF('FU Distribution'!$D$112=8,'FU Distribution'!$D$114,0)</f>
        <v>0</v>
      </c>
      <c r="AV22" s="98" t="e">
        <f>FORECAST(AU22,INDEX($B$3:$B$45,MATCH(AU22,$A$3:$A$45,1)):INDEX($B$3:$B$45,MATCH(AU22,$A$3:$A$45,1)+1),INDEX($A$3:$A$45,MATCH(AU22,$A$3:$A$45,1)):INDEX($A$3:$A$45,MATCH(AU22,$A$3:$A$45,1)+1))</f>
        <v>#N/A</v>
      </c>
      <c r="AW22" s="97" t="e">
        <f t="shared" si="63"/>
        <v>#N/A</v>
      </c>
      <c r="AX22" s="61">
        <f>SUM('FU Distribution'!AX84:$AX$109)</f>
        <v>0</v>
      </c>
      <c r="AY22" s="98" t="e">
        <f>FORECAST(AX22,INDEX($B$3:$B$45,MATCH(AX22,$A$3:$A$45,1)):INDEX($B$3:$B$45,MATCH(AX22,$A$3:$A$45,1)+1),INDEX($A$3:$A$45,MATCH(AX22,$A$3:$A$45,1)):INDEX($A$3:$A$45,MATCH(AX22,$A$3:$A$45,1)+1))</f>
        <v>#N/A</v>
      </c>
      <c r="AZ22" s="97" t="e">
        <f t="shared" si="64"/>
        <v>#N/A</v>
      </c>
      <c r="BA22" s="75">
        <f>SUM('FU Distribution'!AZ84:$AZ$109)+IF('FU Distribution'!$D$112=9,'FU Distribution'!$D$114,0)</f>
        <v>0</v>
      </c>
      <c r="BB22" s="76" t="e">
        <f>FORECAST((SUM(BA22:BA1017)),INDEX($B$3:$B$45,MATCH((SUM(BA22:BA1017)),$A$3:$A$45,1)):INDEX($B$3:$B$45,MATCH((SUM(BA22:BA1017)),$A$3:$A$45,1)+1),INDEX($A$3:$A$45,MATCH((SUM(BA22:BA1017)),$A$3:$A$45,1)):INDEX($A$3:$A$45,MATCH((SUM(BA22:BA1017)),$A$3:$A$45,1)+1))</f>
        <v>#N/A</v>
      </c>
      <c r="BC22" s="77" t="e">
        <f t="shared" si="3"/>
        <v>#N/A</v>
      </c>
      <c r="BD22" s="75">
        <f>SUM('FU Distribution'!BA84:$BA$109)</f>
        <v>0</v>
      </c>
      <c r="BE22" s="76" t="e">
        <f>FORECAST((SUM(BD22:BD1017)),INDEX($B$3:$B$45,MATCH((SUM(BD22:BD1017)),$A$3:$A$45,1)):INDEX($B$3:$B$45,MATCH((SUM(BD22:BD1017)),$A$3:$A$45,1)+1),INDEX($A$3:$A$45,MATCH((SUM(BD22:BD1017)),$A$3:$A$45,1)):INDEX($A$3:$A$45,MATCH((SUM(BD22:BD1017)),$A$3:$A$45,1)+1))</f>
        <v>#N/A</v>
      </c>
      <c r="BF22" s="77" t="e">
        <f t="shared" si="4"/>
        <v>#N/A</v>
      </c>
      <c r="BG22" s="61">
        <f>SUM('FU Distribution'!BC84:$BC$109)+IF('FU Distribution'!$D$112=10,'FU Distribution'!$D$114,0)</f>
        <v>0</v>
      </c>
      <c r="BH22" s="62" t="e">
        <f>FORECAST((SUM(BG22:BG1017)),INDEX($B$3:$B$45,MATCH((SUM(BG22:BG1017)),$A$3:$A$45,1)):INDEX($B$3:$B$45,MATCH((SUM(BG22:BG1017)),$A$3:$A$45,1)+1),INDEX($A$3:$A$45,MATCH((SUM(BG22:BG1017)),$A$3:$A$45,1)):INDEX($A$3:$A$45,MATCH((SUM(BG22:BG1017)),$A$3:$A$45,1)+1))</f>
        <v>#N/A</v>
      </c>
      <c r="BI22" s="74" t="e">
        <f t="shared" si="5"/>
        <v>#N/A</v>
      </c>
      <c r="BJ22" s="61">
        <f>SUM('FU Distribution'!BD84:$BD$109)</f>
        <v>0</v>
      </c>
      <c r="BK22" s="62" t="e">
        <f>FORECAST((SUM(BJ22:BJ1017)),INDEX($B$3:$B$45,MATCH((SUM(BJ22:BJ1017)),$A$3:$A$45,1)):INDEX($B$3:$B$45,MATCH((SUM(BJ22:BJ1017)),$A$3:$A$45,1)+1),INDEX($A$3:$A$45,MATCH((SUM(BJ22:BJ1017)),$A$3:$A$45,1)):INDEX($A$3:$A$45,MATCH((SUM(BJ22:BJ1017)),$A$3:$A$45,1)+1))</f>
        <v>#N/A</v>
      </c>
      <c r="BL22" s="74" t="e">
        <f t="shared" si="6"/>
        <v>#N/A</v>
      </c>
      <c r="BM22" s="75">
        <f>SUM('FU Distribution'!BF84:$BF$109)+IF('FU Distribution'!$D$112=11,'FU Distribution'!$D$114,0)</f>
        <v>0</v>
      </c>
      <c r="BN22" s="76" t="e">
        <f>FORECAST((SUM(BM22:BM1017)),INDEX($B$3:$B$45,MATCH((SUM(BM22:BM1017)),$A$3:$A$45,1)):INDEX($B$3:$B$45,MATCH((SUM(BM22:BM1017)),$A$3:$A$45,1)+1),INDEX($A$3:$A$45,MATCH((SUM(BM22:BM1017)),$A$3:$A$45,1)):INDEX($A$3:$A$45,MATCH((SUM(BM22:BM1017)),$A$3:$A$45,1)+1))</f>
        <v>#N/A</v>
      </c>
      <c r="BO22" s="77" t="e">
        <f t="shared" si="7"/>
        <v>#N/A</v>
      </c>
      <c r="BP22" s="75">
        <f>SUM('FU Distribution'!BG84:$BG$109)</f>
        <v>0</v>
      </c>
      <c r="BQ22" s="76" t="e">
        <f>FORECAST((SUM(BP22:BP1017)),INDEX($B$3:$B$45,MATCH((SUM(BP22:BP1017)),$A$3:$A$45,1)):INDEX($B$3:$B$45,MATCH((SUM(BP22:BP1017)),$A$3:$A$45,1)+1),INDEX($A$3:$A$45,MATCH((SUM(BP22:BP1017)),$A$3:$A$45,1)):INDEX($A$3:$A$45,MATCH((SUM(BP22:BP1017)),$A$3:$A$45,1)+1))</f>
        <v>#N/A</v>
      </c>
      <c r="BR22" s="77" t="e">
        <f t="shared" si="8"/>
        <v>#N/A</v>
      </c>
      <c r="BS22" s="61">
        <f>SUM('FU Distribution'!BI84:$BI$109)+IF('FU Distribution'!$D$112=12,'FU Distribution'!$D$114,0)</f>
        <v>0</v>
      </c>
      <c r="BT22" s="62" t="e">
        <f>FORECAST(BS22,INDEX($B$3:$B$45,MATCH(BS22,$A$3:$A$45,1)):INDEX($B$3:$B$45,MATCH(BS22,$A$3:$A$45,1)+1),INDEX($A$3:$A$45,MATCH(BS22,$A$3:$A$45,1)):INDEX($A$3:$A$45,MATCH(BS22,$A$3:$A$45,1)+1))</f>
        <v>#N/A</v>
      </c>
      <c r="BU22" s="74" t="e">
        <f t="shared" si="9"/>
        <v>#N/A</v>
      </c>
      <c r="BV22" s="61">
        <f>SUM('FU Distribution'!BJ84:$BJ$109)</f>
        <v>0</v>
      </c>
      <c r="BW22" s="62" t="e">
        <f>FORECAST(BV22,INDEX($B$3:$B$45,MATCH(BV22,$A$3:$A$45,1)):INDEX($B$3:$B$45,MATCH(BV22,$A$3:$A$45,1)+1),INDEX($A$3:$A$45,MATCH(BV22,$A$3:$A$45,1)):INDEX($A$3:$A$45,MATCH(BV22,$A$3:$A$45,1)+1))</f>
        <v>#N/A</v>
      </c>
      <c r="BX22" s="74" t="e">
        <f t="shared" si="10"/>
        <v>#N/A</v>
      </c>
      <c r="BY22" s="75">
        <f>SUM('FU Distribution'!BL84:$BL$109)+IF('FU Distribution'!$D$112=13,'FU Distribution'!$D$114,0)</f>
        <v>0</v>
      </c>
      <c r="BZ22" s="76" t="e">
        <f>FORECAST(BY22,INDEX($B$3:$B$45,MATCH(BY22,$A$3:$A$45,1)):INDEX($B$3:$B$45,MATCH(BY22,$A$3:$A$45,1)+1),INDEX($A$3:$A$45,MATCH(BY22,$A$3:$A$45,1)):INDEX($A$3:$A$45,MATCH(BY22,$A$3:$A$45,1)+1))</f>
        <v>#N/A</v>
      </c>
      <c r="CA22" s="77" t="e">
        <f t="shared" si="11"/>
        <v>#N/A</v>
      </c>
      <c r="CB22" s="75">
        <f>SUM('FU Distribution'!BM84:$BM$109)</f>
        <v>0</v>
      </c>
      <c r="CC22" s="76" t="e">
        <f>FORECAST(CB22,INDEX($B$3:$B$45,MATCH(CB22,$A$3:$A$45,1)):INDEX($B$3:$B$45,MATCH(CB22,$A$3:$A$45,1)+1),INDEX($A$3:$A$45,MATCH(CB22,$A$3:$A$45,1)):INDEX($A$3:$A$45,MATCH(CB22,$A$3:$A$45,1)+1))</f>
        <v>#N/A</v>
      </c>
      <c r="CD22" s="77" t="e">
        <f t="shared" si="12"/>
        <v>#N/A</v>
      </c>
      <c r="CE22" s="61">
        <f>SUM('FU Distribution'!BO84:$BO$109)+IF('FU Distribution'!$D$112=13,'FU Distribution'!$D$114,0)</f>
        <v>0</v>
      </c>
      <c r="CF22" s="62" t="e">
        <f>FORECAST(CE22,INDEX($B$3:$B$45,MATCH(CE22,$A$3:$A$45,1)):INDEX($B$3:$B$45,MATCH(CE22,$A$3:$A$45,1)+1),INDEX($A$3:$A$45,MATCH(CE22,$A$3:$A$45,1)):INDEX($A$3:$A$45,MATCH(CE22,$A$3:$A$45,1)+1))</f>
        <v>#N/A</v>
      </c>
      <c r="CG22" s="74" t="e">
        <f t="shared" si="13"/>
        <v>#N/A</v>
      </c>
      <c r="CH22" s="61">
        <f>SUM('FU Distribution'!BP84:$BP$109)</f>
        <v>0</v>
      </c>
      <c r="CI22" s="62" t="e">
        <f>FORECAST(CH22,INDEX($B$3:$B$45,MATCH(CH22,$A$3:$A$45,1)):INDEX($B$3:$B$45,MATCH(CH22,$A$3:$A$45,1)+1),INDEX($A$3:$A$45,MATCH(CH22,$A$3:$A$45,1)):INDEX($A$3:$A$45,MATCH(CH22,$A$3:$A$45,1)+1))</f>
        <v>#N/A</v>
      </c>
      <c r="CJ22" s="74" t="e">
        <f t="shared" si="14"/>
        <v>#N/A</v>
      </c>
    </row>
    <row r="23" spans="1:88" x14ac:dyDescent="0.25">
      <c r="A23" s="2">
        <v>190</v>
      </c>
      <c r="B23" s="2">
        <v>65</v>
      </c>
      <c r="C23" s="63"/>
      <c r="D23" s="52">
        <v>19</v>
      </c>
      <c r="E23" s="61">
        <f>SUM('FU Distribution'!AB85:$AB$109)+IF('FU Distribution'!$D$112=1,'FU Distribution'!$D$114,0)</f>
        <v>0</v>
      </c>
      <c r="F23" s="98" t="e">
        <f>FORECAST((SUM(E23:E1018)),INDEX($B$3:$B$45,MATCH((SUM(E23:E1018)),$A$3:$A$45,1)):INDEX($B$3:$B$45,MATCH((SUM(E23:E1018)),$A$3:$A$45,1)+1),INDEX($A$3:$A$45,MATCH((SUM(E23:E1018)),$A$3:$A$45,1)):INDEX($A$3:$A$45,MATCH((SUM(E23:E1018)),$A$3:$A$45,1)+1))</f>
        <v>#N/A</v>
      </c>
      <c r="G23" s="99" t="e">
        <f t="shared" ref="G23:G24" si="65">IF(AND(F23&lt;=750,F23&gt;250),6,IF(AND(F23&lt;=250,F23&gt;120),4,IF(AND(F23&lt;=120,F23&gt;75),3,IF(AND(F23&lt;=75,F23&gt;40),2.5,IF(AND(F23&lt;=40,F23&gt;20),2,IF(AND(F23&lt;=20,F23&gt;14),1.5,IF(AND(F23&lt;=14,F23&gt;7),1.25,IF(AND(F23&lt;=7,F23&gt;3.5),1,IF(AND(F23&lt;=3.5,F23&gt;1.7),0.75,IF(AND(F23&lt;=1.7,F23&gt;0),0.5,IF(AND(F23&lt;=0,F23&gt;-1),0)))))))))))</f>
        <v>#N/A</v>
      </c>
      <c r="H23" s="61">
        <f>SUM('FU Distribution'!AC85:$AC$109)</f>
        <v>0</v>
      </c>
      <c r="I23" s="98" t="e">
        <f>FORECAST((SUM(H23:H1018)),INDEX($B$3:$B$45,MATCH((SUM(H23:H1018)),$A$3:$A$45,1)):INDEX($B$3:$B$45,MATCH((SUM(H23:H1018)),$A$3:$A$45,1)+1),INDEX($A$3:$A$45,MATCH((SUM(H23:H1018)),$A$3:$A$45,1)):INDEX($A$3:$A$45,MATCH((SUM(H23:H1018)),$A$3:$A$45,1)+1))</f>
        <v>#N/A</v>
      </c>
      <c r="J23" s="99" t="e">
        <f t="shared" ref="J23:J24" si="66">IF(AND(I23&lt;=750,I23&gt;250),6,IF(AND(I23&lt;=250,I23&gt;120),4,IF(AND(I23&lt;=120,I23&gt;75),3,IF(AND(I23&lt;=75,I23&gt;40),2.5,IF(AND(I23&lt;=40,I23&gt;20),2,IF(AND(I23&lt;=20,I23&gt;14),1.5,IF(AND(I23&lt;=14,I23&gt;7),1.25,IF(AND(I23&lt;=7,I23&gt;3.5),1,IF(AND(I23&lt;=3.5,I23&gt;1.7),0.75,IF(AND(I23&lt;=1.7,I23&gt;0),0.5,IF(AND(I23&lt;=0,I23&gt;-1),0)))))))))))</f>
        <v>#N/A</v>
      </c>
      <c r="K23" s="75">
        <f>SUM('FU Distribution'!AE85:$AE$109)+IF('FU Distribution'!$D$112=2,'FU Distribution'!$D$114,0)</f>
        <v>0</v>
      </c>
      <c r="L23" s="100" t="e">
        <f>FORECAST((SUM(K23:K1018)),INDEX($B$3:$B$45,MATCH((SUM(K23:K1018)),$A$3:$A$45,1)):INDEX($B$3:$B$45,MATCH((SUM(K23:K1018)),$A$3:$A$45,1)+1),INDEX($A$3:$A$45,MATCH((SUM(K23:K1018)),$A$3:$A$45,1)):INDEX($A$3:$A$45,MATCH((SUM(K23:K1018)),$A$3:$A$45,1)+1))</f>
        <v>#N/A</v>
      </c>
      <c r="M23" s="101" t="e">
        <f t="shared" ref="M23:M24" si="67">IF(AND(L23&lt;=750,L23&gt;250),6,IF(AND(L23&lt;=250,L23&gt;120),4,IF(AND(L23&lt;=120,L23&gt;75),3,IF(AND(L23&lt;=75,L23&gt;40),2.5,IF(AND(L23&lt;=40,L23&gt;20),2,IF(AND(L23&lt;=20,L23&gt;14),1.5,IF(AND(L23&lt;=14,L23&gt;7),1.25,IF(AND(L23&lt;=7,L23&gt;3.5),1,IF(AND(L23&lt;=3.5,L23&gt;1.7),0.75,IF(AND(L23&lt;=1.7,L23&gt;0),0.5,IF(AND(L23&lt;=0,L23&gt;-1),0)))))))))))</f>
        <v>#N/A</v>
      </c>
      <c r="N23" s="75">
        <f>SUM('FU Distribution'!AF85:$AF$109)</f>
        <v>0</v>
      </c>
      <c r="O23" s="100" t="e">
        <f>FORECAST((SUM(N23:N1018)),INDEX($B$3:$B$45,MATCH((SUM(N23:N1018)),$A$3:$A$45,1)):INDEX($B$3:$B$45,MATCH((SUM(N23:N1018)),$A$3:$A$45,1)+1),INDEX($A$3:$A$45,MATCH((SUM(N23:N1018)),$A$3:$A$45,1)):INDEX($A$3:$A$45,MATCH((SUM(N23:N1018)),$A$3:$A$45,1)+1))</f>
        <v>#N/A</v>
      </c>
      <c r="P23" s="101" t="e">
        <f t="shared" ref="P23:P24" si="68">IF(AND(O23&lt;=750,O23&gt;250),6,IF(AND(O23&lt;=250,O23&gt;120),4,IF(AND(O23&lt;=120,O23&gt;75),3,IF(AND(O23&lt;=75,O23&gt;40),2.5,IF(AND(O23&lt;=40,O23&gt;20),2,IF(AND(O23&lt;=20,O23&gt;14),1.5,IF(AND(O23&lt;=14,O23&gt;7),1.25,IF(AND(O23&lt;=7,O23&gt;3.5),1,IF(AND(O23&lt;=3.5,O23&gt;1.7),0.75,IF(AND(O23&lt;=1.7,O23&gt;0),0.5,IF(AND(O23&lt;=0,O23&gt;-1),0)))))))))))</f>
        <v>#N/A</v>
      </c>
      <c r="Q23" s="61">
        <f>SUM('FU Distribution'!AH85:$AH$109)+IF('FU Distribution'!$D$112=3,'FU Distribution'!$D$114,0)</f>
        <v>0</v>
      </c>
      <c r="R23" s="98" t="e">
        <f>FORECAST((SUM(Q23:Q1018)),INDEX($B$3:$B$45,MATCH((SUM(Q23:Q1018)),$A$3:$A$45,1)):INDEX($B$3:$B$45,MATCH((SUM(Q23:Q1018)),$A$3:$A$45,1)+1),INDEX($A$3:$A$45,MATCH((SUM(Q23:Q1018)),$A$3:$A$45,1)):INDEX($A$3:$A$45,MATCH((SUM(Q23:Q1018)),$A$3:$A$45,1)+1))</f>
        <v>#N/A</v>
      </c>
      <c r="S23" s="99" t="e">
        <f t="shared" ref="S23:S24" si="69">IF(AND(R23&lt;=750,R23&gt;250),6,IF(AND(R23&lt;=250,R23&gt;120),4,IF(AND(R23&lt;=120,R23&gt;75),3,IF(AND(R23&lt;=75,R23&gt;40),2.5,IF(AND(R23&lt;=40,R23&gt;20),2,IF(AND(R23&lt;=20,R23&gt;14),1.5,IF(AND(R23&lt;=14,R23&gt;7),1.25,IF(AND(R23&lt;=7,R23&gt;3.5),1,IF(AND(R23&lt;=3.5,R23&gt;1.7),0.75,IF(AND(R23&lt;=1.7,R23&gt;0),0.5,IF(AND(R23&lt;=0,R23&gt;-1),0)))))))))))</f>
        <v>#N/A</v>
      </c>
      <c r="T23" s="61">
        <f>SUM('FU Distribution'!AI85:$AI$109)</f>
        <v>0</v>
      </c>
      <c r="U23" s="98" t="e">
        <f>FORECAST((SUM(T23:T1018)),INDEX($B$3:$B$45,MATCH((SUM(T23:T1018)),$A$3:$A$45,1)):INDEX($B$3:$B$45,MATCH((SUM(T23:T1018)),$A$3:$A$45,1)+1),INDEX($A$3:$A$45,MATCH((SUM(T23:T1018)),$A$3:$A$45,1)):INDEX($A$3:$A$45,MATCH((SUM(T23:T1018)),$A$3:$A$45,1)+1))</f>
        <v>#N/A</v>
      </c>
      <c r="V23" s="99" t="e">
        <f t="shared" si="0"/>
        <v>#N/A</v>
      </c>
      <c r="W23" s="75">
        <f>SUM('FU Distribution'!AK85:$AK$109)+IF('FU Distribution'!$D$112=4,'FU Distribution'!$D$114,0)</f>
        <v>0</v>
      </c>
      <c r="X23" s="100" t="e">
        <f>FORECAST((SUM(W23:W1018)),INDEX($B$3:$B$45,MATCH((SUM(W23:W1018)),$A$3:$A$45,1)):INDEX($B$3:$B$45,MATCH((SUM(W23:W1018)),$A$3:$A$45,1)+1),INDEX($A$3:$A$45,MATCH((SUM(W23:W1018)),$A$3:$A$45,1)):INDEX($A$3:$A$45,MATCH((SUM(W23:W1018)),$A$3:$A$45,1)+1))</f>
        <v>#N/A</v>
      </c>
      <c r="Y23" s="101" t="e">
        <f t="shared" si="1"/>
        <v>#N/A</v>
      </c>
      <c r="Z23" s="75">
        <f>SUM('FU Distribution'!AL85:$AL$109)</f>
        <v>0</v>
      </c>
      <c r="AA23" s="100" t="e">
        <f>FORECAST((SUM(Z23:Z1018)),INDEX($B$3:$B$45,MATCH((SUM(Z23:Z1018)),$A$3:$A$45,1)):INDEX($B$3:$B$45,MATCH((SUM(Z23:Z1018)),$A$3:$A$45,1)+1),INDEX($A$3:$A$45,MATCH((SUM(Z23:Z1018)),$A$3:$A$45,1)):INDEX($A$3:$A$45,MATCH((SUM(Z23:Z1018)),$A$3:$A$45,1)+1))</f>
        <v>#N/A</v>
      </c>
      <c r="AB23" s="101" t="e">
        <f t="shared" ref="AB23:AB24" si="70">IF(AND(AA23&lt;=750,AA23&gt;250),6,IF(AND(AA23&lt;=250,AA23&gt;120),4,IF(AND(AA23&lt;=120,AA23&gt;75),3,IF(AND(AA23&lt;=75,AA23&gt;40),2.5,IF(AND(AA23&lt;=40,AA23&gt;20),2,IF(AND(AA23&lt;=20,AA23&gt;14),1.5,IF(AND(AA23&lt;=14,AA23&gt;7),1.25,IF(AND(AA23&lt;=7,AA23&gt;3.5),1,IF(AND(AA23&lt;=3.5,AA23&gt;1.7),0.75,IF(AND(AA23&lt;=1.7,AA23&gt;0),0.5,IF(AND(AA23&lt;=0,AA23&gt;-1),0)))))))))))</f>
        <v>#N/A</v>
      </c>
      <c r="AC23" s="61">
        <f>SUM('FU Distribution'!AN85:$AN$109)+IF('FU Distribution'!$D$112=5,'FU Distribution'!$D$114,0)</f>
        <v>0</v>
      </c>
      <c r="AD23" s="98" t="e">
        <f>FORECAST((SUM(AC23:AC1018)),INDEX($B$3:$B$45,MATCH((SUM(AC23:AC1018)),$A$3:$A$45,1)):INDEX($B$3:$B$45,MATCH((SUM(AC23:AC1018)),$A$3:$A$45,1)+1),INDEX($A$3:$A$45,MATCH((SUM(AC23:AC1018)),$A$3:$A$45,1)):INDEX($A$3:$A$45,MATCH((SUM(AC23:AC1018)),$A$3:$A$45,1)+1))</f>
        <v>#N/A</v>
      </c>
      <c r="AE23" s="99" t="e">
        <f t="shared" ref="AE23:AE24" si="71">IF(AND(AD23&lt;=750,AD23&gt;250),6,IF(AND(AD23&lt;=250,AD23&gt;120),4,IF(AND(AD23&lt;=120,AD23&gt;75),3,IF(AND(AD23&lt;=75,AD23&gt;40),2.5,IF(AND(AD23&lt;=40,AD23&gt;20),2,IF(AND(AD23&lt;=20,AD23&gt;14),1.5,IF(AND(AD23&lt;=14,AD23&gt;7),1.25,IF(AND(AD23&lt;=7,AD23&gt;3.5),1,IF(AND(AD23&lt;=3.5,AD23&gt;1.7),0.75,IF(AND(AD23&lt;=1.7,AD23&gt;0),0.5,IF(AND(AD23&lt;=0,AD23&gt;-1),0)))))))))))</f>
        <v>#N/A</v>
      </c>
      <c r="AF23" s="61">
        <f>SUM('FU Distribution'!AO85:$AO$109)</f>
        <v>0</v>
      </c>
      <c r="AG23" s="98" t="e">
        <f>FORECAST((SUM(AF23:AF1018)),INDEX($B$3:$B$45,MATCH((SUM(AF23:AF1018)),$A$3:$A$45,1)):INDEX($B$3:$B$45,MATCH((SUM(AF23:AF1018)),$A$3:$A$45,1)+1),INDEX($A$3:$A$45,MATCH((SUM(AF23:AF1018)),$A$3:$A$45,1)):INDEX($A$3:$A$45,MATCH((SUM(AF23:AF1018)),$A$3:$A$45,1)+1))</f>
        <v>#N/A</v>
      </c>
      <c r="AH23" s="99" t="e">
        <f t="shared" ref="AH23:AH24" si="72">IF(AND(AG23&lt;=750,AG23&gt;250),6,IF(AND(AG23&lt;=250,AG23&gt;120),4,IF(AND(AG23&lt;=120,AG23&gt;75),3,IF(AND(AG23&lt;=75,AG23&gt;40),2.5,IF(AND(AG23&lt;=40,AG23&gt;20),2,IF(AND(AG23&lt;=20,AG23&gt;14),1.5,IF(AND(AG23&lt;=14,AG23&gt;7),1.25,IF(AND(AG23&lt;=7,AG23&gt;3.5),1,IF(AND(AG23&lt;=3.5,AG23&gt;1.7),0.75,IF(AND(AG23&lt;=1.7,AG23&gt;0),0.5,IF(AND(AG23&lt;=0,AG23&gt;-1),0)))))))))))</f>
        <v>#N/A</v>
      </c>
      <c r="AI23" s="75">
        <f>SUM('FU Distribution'!AQ85:$AQ$109)+IF('FU Distribution'!$D$112=6,'FU Distribution'!$D$114,0)</f>
        <v>0</v>
      </c>
      <c r="AJ23" s="100" t="e">
        <f>FORECAST((SUM(AI23:AI1018)),INDEX($B$3:$B$45,MATCH((SUM(AI23:AI1018)),$A$3:$A$45,1)):INDEX($B$3:$B$45,MATCH((SUM(AI23:AI1018)),$A$3:$A$45,1)+1),INDEX($A$3:$A$45,MATCH((SUM(AI23:AI1018)),$A$3:$A$45,1)):INDEX($A$3:$A$45,MATCH((SUM(AI23:AI1018)),$A$3:$A$45,1)+1))</f>
        <v>#N/A</v>
      </c>
      <c r="AK23" s="101" t="e">
        <f t="shared" ref="AK23:AK24" si="73">IF(AND(AJ23&lt;=750,AJ23&gt;250),6,IF(AND(AJ23&lt;=250,AJ23&gt;120),4,IF(AND(AJ23&lt;=120,AJ23&gt;75),3,IF(AND(AJ23&lt;=75,AJ23&gt;40),2.5,IF(AND(AJ23&lt;=40,AJ23&gt;20),2,IF(AND(AJ23&lt;=20,AJ23&gt;14),1.5,IF(AND(AJ23&lt;=14,AJ23&gt;7),1.25,IF(AND(AJ23&lt;=7,AJ23&gt;3.5),1,IF(AND(AJ23&lt;=3.5,AJ23&gt;1.7),0.75,IF(AND(AJ23&lt;=1.7,AJ23&gt;0),0.5,IF(AND(AJ23&lt;=0,AJ23&gt;-1),0)))))))))))</f>
        <v>#N/A</v>
      </c>
      <c r="AL23" s="75">
        <f>SUM('FU Distribution'!AR85:$AR$109)</f>
        <v>0</v>
      </c>
      <c r="AM23" s="100" t="e">
        <f>FORECAST((SUM(AL23:AL1018)),INDEX($B$3:$B$45,MATCH((SUM(AL23:AL1018)),$A$3:$A$45,1)):INDEX($B$3:$B$45,MATCH((SUM(AL23:AL1018)),$A$3:$A$45,1)+1),INDEX($A$3:$A$45,MATCH((SUM(AL23:AL1018)),$A$3:$A$45,1)):INDEX($A$3:$A$45,MATCH((SUM(AL23:AL1018)),$A$3:$A$45,1)+1))</f>
        <v>#N/A</v>
      </c>
      <c r="AN23" s="101" t="e">
        <f t="shared" ref="AN23:AN24" si="74">IF(AND(AM23&lt;=750,AM23&gt;250),6,IF(AND(AM23&lt;=250,AM23&gt;120),4,IF(AND(AM23&lt;=120,AM23&gt;75),3,IF(AND(AM23&lt;=75,AM23&gt;40),2.5,IF(AND(AM23&lt;=40,AM23&gt;20),2,IF(AND(AM23&lt;=20,AM23&gt;14),1.5,IF(AND(AM23&lt;=14,AM23&gt;7),1.25,IF(AND(AM23&lt;=7,AM23&gt;3.5),1,IF(AND(AM23&lt;=3.5,AM23&gt;1.7),0.75,IF(AND(AM23&lt;=1.7,AM23&gt;0),0.5,IF(AND(AM23&lt;=0,AM23&gt;-1),0)))))))))))</f>
        <v>#N/A</v>
      </c>
      <c r="AO23" s="61">
        <f>SUM('FU Distribution'!AT85:$AT$109)+IF('FU Distribution'!$D$112=7,'FU Distribution'!$D$114,0)</f>
        <v>0</v>
      </c>
      <c r="AP23" s="98" t="e">
        <f>FORECAST((SUM(AO23:AO1018)),INDEX($B$3:$B$45,MATCH((SUM(AO23:AO1018)),$A$3:$A$45,1)):INDEX($B$3:$B$45,MATCH((SUM(AO23:AO1018)),$A$3:$A$45,1)+1),INDEX($A$3:$A$45,MATCH((SUM(AO23:AO1018)),$A$3:$A$45,1)):INDEX($A$3:$A$45,MATCH((SUM(AO23:AO1018)),$A$3:$A$45,1)+1))</f>
        <v>#N/A</v>
      </c>
      <c r="AQ23" s="99" t="e">
        <f t="shared" ref="AQ23:AQ24" si="75">IF(AND(AP23&lt;=750,AP23&gt;250),6,IF(AND(AP23&lt;=250,AP23&gt;120),4,IF(AND(AP23&lt;=120,AP23&gt;75),3,IF(AND(AP23&lt;=75,AP23&gt;40),2.5,IF(AND(AP23&lt;=40,AP23&gt;20),2,IF(AND(AP23&lt;=20,AP23&gt;14),1.5,IF(AND(AP23&lt;=14,AP23&gt;7),1.25,IF(AND(AP23&lt;=7,AP23&gt;3.5),1,IF(AND(AP23&lt;=3.5,AP23&gt;1.7),0.75,IF(AND(AP23&lt;=1.7,AP23&gt;0),0.5,IF(AND(AP23&lt;=0,AP23&gt;-1),0)))))))))))</f>
        <v>#N/A</v>
      </c>
      <c r="AR23" s="61">
        <f>SUM('FU Distribution'!AU85:$AU$109)</f>
        <v>0</v>
      </c>
      <c r="AS23" s="98" t="e">
        <f>FORECAST((SUM(AR23:AR1018)),INDEX($B$3:$B$45,MATCH((SUM(AR23:AR1018)),$A$3:$A$45,1)):INDEX($B$3:$B$45,MATCH((SUM(AR23:AR1018)),$A$3:$A$45,1)+1),INDEX($A$3:$A$45,MATCH((SUM(AR23:AR1018)),$A$3:$A$45,1)):INDEX($A$3:$A$45,MATCH((SUM(AR23:AR1018)),$A$3:$A$45,1)+1))</f>
        <v>#N/A</v>
      </c>
      <c r="AT23" s="99" t="e">
        <f t="shared" ref="AT23:AT24" si="76">IF(AND(AS23&lt;=750,AS23&gt;250),6,IF(AND(AS23&lt;=250,AS23&gt;120),4,IF(AND(AS23&lt;=120,AS23&gt;75),3,IF(AND(AS23&lt;=75,AS23&gt;40),2.5,IF(AND(AS23&lt;=40,AS23&gt;20),2,IF(AND(AS23&lt;=20,AS23&gt;14),1.5,IF(AND(AS23&lt;=14,AS23&gt;7),1.25,IF(AND(AS23&lt;=7,AS23&gt;3.5),1,IF(AND(AS23&lt;=3.5,AS23&gt;1.7),0.75,IF(AND(AS23&lt;=1.7,AS23&gt;0),0.5,IF(AND(AS23&lt;=0,AS23&gt;-1),0)))))))))))</f>
        <v>#N/A</v>
      </c>
      <c r="AU23" s="61">
        <f>SUM('FU Distribution'!AW85:$AW$109)+IF('FU Distribution'!$D$112=8,'FU Distribution'!$D$114,0)</f>
        <v>0</v>
      </c>
      <c r="AV23" s="98" t="e">
        <f>FORECAST(AU23,INDEX($B$3:$B$45,MATCH(AU23,$A$3:$A$45,1)):INDEX($B$3:$B$45,MATCH(AU23,$A$3:$A$45,1)+1),INDEX($A$3:$A$45,MATCH(AU23,$A$3:$A$45,1)):INDEX($A$3:$A$45,MATCH(AU23,$A$3:$A$45,1)+1))</f>
        <v>#N/A</v>
      </c>
      <c r="AW23" s="99" t="e">
        <f t="shared" ref="AW23:AW24" si="77">IF(AND(AV23&lt;=750,AV23&gt;250),6,IF(AND(AV23&lt;=250,AV23&gt;120),4,IF(AND(AV23&lt;=120,AV23&gt;75),3,IF(AND(AV23&lt;=75,AV23&gt;40),2.5,IF(AND(AV23&lt;=40,AV23&gt;20),2,IF(AND(AV23&lt;=20,AV23&gt;14),1.5,IF(AND(AV23&lt;=14,AV23&gt;7),1.25,IF(AND(AV23&lt;=7,AV23&gt;3.5),1,IF(AND(AV23&lt;=3.5,AV23&gt;1.7),0.75,IF(AND(AV23&lt;=1.7,AV23&gt;0),0.5,IF(AND(AV23&lt;=0,AV23&gt;-1),0)))))))))))</f>
        <v>#N/A</v>
      </c>
      <c r="AX23" s="61">
        <f>SUM('FU Distribution'!AX85:$AX$109)</f>
        <v>0</v>
      </c>
      <c r="AY23" s="98" t="e">
        <f>FORECAST(AX23,INDEX($B$3:$B$45,MATCH(AX23,$A$3:$A$45,1)):INDEX($B$3:$B$45,MATCH(AX23,$A$3:$A$45,1)+1),INDEX($A$3:$A$45,MATCH(AX23,$A$3:$A$45,1)):INDEX($A$3:$A$45,MATCH(AX23,$A$3:$A$45,1)+1))</f>
        <v>#N/A</v>
      </c>
      <c r="AZ23" s="99" t="e">
        <f t="shared" ref="AZ23:AZ24" si="78">IF(AND(AY23&lt;=750,AY23&gt;250),6,IF(AND(AY23&lt;=250,AY23&gt;120),4,IF(AND(AY23&lt;=120,AY23&gt;75),3,IF(AND(AY23&lt;=75,AY23&gt;40),2.5,IF(AND(AY23&lt;=40,AY23&gt;20),2,IF(AND(AY23&lt;=20,AY23&gt;14),1.5,IF(AND(AY23&lt;=14,AY23&gt;7),1.25,IF(AND(AY23&lt;=7,AY23&gt;3.5),1,IF(AND(AY23&lt;=3.5,AY23&gt;1.7),0.75,IF(AND(AY23&lt;=1.7,AY23&gt;0),0.5,IF(AND(AY23&lt;=0,AY23&gt;-1),0)))))))))))</f>
        <v>#N/A</v>
      </c>
      <c r="BA23" s="75">
        <f>SUM('FU Distribution'!AZ85:$AZ$109)+IF('FU Distribution'!$D$112=9,'FU Distribution'!$D$114,0)</f>
        <v>0</v>
      </c>
      <c r="BB23" s="76" t="e">
        <f>FORECAST((SUM(BA23:BA1018)),INDEX($B$3:$B$45,MATCH((SUM(BA23:BA1018)),$A$3:$A$45,1)):INDEX($B$3:$B$45,MATCH((SUM(BA23:BA1018)),$A$3:$A$45,1)+1),INDEX($A$3:$A$45,MATCH((SUM(BA23:BA1018)),$A$3:$A$45,1)):INDEX($A$3:$A$45,MATCH((SUM(BA23:BA1018)),$A$3:$A$45,1)+1))</f>
        <v>#N/A</v>
      </c>
      <c r="BC23" s="77" t="e">
        <f t="shared" si="3"/>
        <v>#N/A</v>
      </c>
      <c r="BD23" s="75">
        <f>SUM('FU Distribution'!BA85:$BA$109)</f>
        <v>0</v>
      </c>
      <c r="BE23" s="76" t="e">
        <f>FORECAST((SUM(BD23:BD1018)),INDEX($B$3:$B$45,MATCH((SUM(BD23:BD1018)),$A$3:$A$45,1)):INDEX($B$3:$B$45,MATCH((SUM(BD23:BD1018)),$A$3:$A$45,1)+1),INDEX($A$3:$A$45,MATCH((SUM(BD23:BD1018)),$A$3:$A$45,1)):INDEX($A$3:$A$45,MATCH((SUM(BD23:BD1018)),$A$3:$A$45,1)+1))</f>
        <v>#N/A</v>
      </c>
      <c r="BF23" s="77" t="e">
        <f t="shared" si="4"/>
        <v>#N/A</v>
      </c>
      <c r="BG23" s="61">
        <f>SUM('FU Distribution'!BC85:$BC$109)+IF('FU Distribution'!$D$112=10,'FU Distribution'!$D$114,0)</f>
        <v>0</v>
      </c>
      <c r="BH23" s="62" t="e">
        <f>FORECAST((SUM(BG23:BG1018)),INDEX($B$3:$B$45,MATCH((SUM(BG23:BG1018)),$A$3:$A$45,1)):INDEX($B$3:$B$45,MATCH((SUM(BG23:BG1018)),$A$3:$A$45,1)+1),INDEX($A$3:$A$45,MATCH((SUM(BG23:BG1018)),$A$3:$A$45,1)):INDEX($A$3:$A$45,MATCH((SUM(BG23:BG1018)),$A$3:$A$45,1)+1))</f>
        <v>#N/A</v>
      </c>
      <c r="BI23" s="74" t="e">
        <f t="shared" si="5"/>
        <v>#N/A</v>
      </c>
      <c r="BJ23" s="61">
        <f>SUM('FU Distribution'!BD85:$BD$109)</f>
        <v>0</v>
      </c>
      <c r="BK23" s="62" t="e">
        <f>FORECAST((SUM(BJ23:BJ1018)),INDEX($B$3:$B$45,MATCH((SUM(BJ23:BJ1018)),$A$3:$A$45,1)):INDEX($B$3:$B$45,MATCH((SUM(BJ23:BJ1018)),$A$3:$A$45,1)+1),INDEX($A$3:$A$45,MATCH((SUM(BJ23:BJ1018)),$A$3:$A$45,1)):INDEX($A$3:$A$45,MATCH((SUM(BJ23:BJ1018)),$A$3:$A$45,1)+1))</f>
        <v>#N/A</v>
      </c>
      <c r="BL23" s="74" t="e">
        <f t="shared" si="6"/>
        <v>#N/A</v>
      </c>
      <c r="BM23" s="75">
        <f>SUM('FU Distribution'!BF85:$BF$109)+IF('FU Distribution'!$D$112=11,'FU Distribution'!$D$114,0)</f>
        <v>0</v>
      </c>
      <c r="BN23" s="76" t="e">
        <f>FORECAST((SUM(BM23:BM1018)),INDEX($B$3:$B$45,MATCH((SUM(BM23:BM1018)),$A$3:$A$45,1)):INDEX($B$3:$B$45,MATCH((SUM(BM23:BM1018)),$A$3:$A$45,1)+1),INDEX($A$3:$A$45,MATCH((SUM(BM23:BM1018)),$A$3:$A$45,1)):INDEX($A$3:$A$45,MATCH((SUM(BM23:BM1018)),$A$3:$A$45,1)+1))</f>
        <v>#N/A</v>
      </c>
      <c r="BO23" s="77" t="e">
        <f t="shared" si="7"/>
        <v>#N/A</v>
      </c>
      <c r="BP23" s="75">
        <f>SUM('FU Distribution'!BG85:$BG$109)</f>
        <v>0</v>
      </c>
      <c r="BQ23" s="76" t="e">
        <f>FORECAST((SUM(BP23:BP1018)),INDEX($B$3:$B$45,MATCH((SUM(BP23:BP1018)),$A$3:$A$45,1)):INDEX($B$3:$B$45,MATCH((SUM(BP23:BP1018)),$A$3:$A$45,1)+1),INDEX($A$3:$A$45,MATCH((SUM(BP23:BP1018)),$A$3:$A$45,1)):INDEX($A$3:$A$45,MATCH((SUM(BP23:BP1018)),$A$3:$A$45,1)+1))</f>
        <v>#N/A</v>
      </c>
      <c r="BR23" s="77" t="e">
        <f t="shared" si="8"/>
        <v>#N/A</v>
      </c>
      <c r="BS23" s="61">
        <f>SUM('FU Distribution'!BI85:$BI$109)+IF('FU Distribution'!$D$112=12,'FU Distribution'!$D$114,0)</f>
        <v>0</v>
      </c>
      <c r="BT23" s="62" t="e">
        <f>FORECAST(BS23,INDEX($B$3:$B$45,MATCH(BS23,$A$3:$A$45,1)):INDEX($B$3:$B$45,MATCH(BS23,$A$3:$A$45,1)+1),INDEX($A$3:$A$45,MATCH(BS23,$A$3:$A$45,1)):INDEX($A$3:$A$45,MATCH(BS23,$A$3:$A$45,1)+1))</f>
        <v>#N/A</v>
      </c>
      <c r="BU23" s="74" t="e">
        <f t="shared" si="9"/>
        <v>#N/A</v>
      </c>
      <c r="BV23" s="61">
        <f>SUM('FU Distribution'!BJ85:$BJ$109)</f>
        <v>0</v>
      </c>
      <c r="BW23" s="62" t="e">
        <f>FORECAST(BV23,INDEX($B$3:$B$45,MATCH(BV23,$A$3:$A$45,1)):INDEX($B$3:$B$45,MATCH(BV23,$A$3:$A$45,1)+1),INDEX($A$3:$A$45,MATCH(BV23,$A$3:$A$45,1)):INDEX($A$3:$A$45,MATCH(BV23,$A$3:$A$45,1)+1))</f>
        <v>#N/A</v>
      </c>
      <c r="BX23" s="74" t="e">
        <f t="shared" si="10"/>
        <v>#N/A</v>
      </c>
      <c r="BY23" s="75">
        <f>SUM('FU Distribution'!BL85:$BL$109)+IF('FU Distribution'!$D$112=13,'FU Distribution'!$D$114,0)</f>
        <v>0</v>
      </c>
      <c r="BZ23" s="76" t="e">
        <f>FORECAST(BY23,INDEX($B$3:$B$45,MATCH(BY23,$A$3:$A$45,1)):INDEX($B$3:$B$45,MATCH(BY23,$A$3:$A$45,1)+1),INDEX($A$3:$A$45,MATCH(BY23,$A$3:$A$45,1)):INDEX($A$3:$A$45,MATCH(BY23,$A$3:$A$45,1)+1))</f>
        <v>#N/A</v>
      </c>
      <c r="CA23" s="77" t="e">
        <f t="shared" si="11"/>
        <v>#N/A</v>
      </c>
      <c r="CB23" s="75">
        <f>SUM('FU Distribution'!BM85:$BM$109)</f>
        <v>0</v>
      </c>
      <c r="CC23" s="76" t="e">
        <f>FORECAST(CB23,INDEX($B$3:$B$45,MATCH(CB23,$A$3:$A$45,1)):INDEX($B$3:$B$45,MATCH(CB23,$A$3:$A$45,1)+1),INDEX($A$3:$A$45,MATCH(CB23,$A$3:$A$45,1)):INDEX($A$3:$A$45,MATCH(CB23,$A$3:$A$45,1)+1))</f>
        <v>#N/A</v>
      </c>
      <c r="CD23" s="77" t="e">
        <f t="shared" si="12"/>
        <v>#N/A</v>
      </c>
      <c r="CE23" s="61">
        <f>SUM('FU Distribution'!BO85:$BO$109)+IF('FU Distribution'!$D$112=13,'FU Distribution'!$D$114,0)</f>
        <v>0</v>
      </c>
      <c r="CF23" s="62" t="e">
        <f>FORECAST(CE23,INDEX($B$3:$B$45,MATCH(CE23,$A$3:$A$45,1)):INDEX($B$3:$B$45,MATCH(CE23,$A$3:$A$45,1)+1),INDEX($A$3:$A$45,MATCH(CE23,$A$3:$A$45,1)):INDEX($A$3:$A$45,MATCH(CE23,$A$3:$A$45,1)+1))</f>
        <v>#N/A</v>
      </c>
      <c r="CG23" s="74" t="e">
        <f t="shared" si="13"/>
        <v>#N/A</v>
      </c>
      <c r="CH23" s="61">
        <f>SUM('FU Distribution'!BP85:$BP$109)</f>
        <v>0</v>
      </c>
      <c r="CI23" s="62" t="e">
        <f>FORECAST(CH23,INDEX($B$3:$B$45,MATCH(CH23,$A$3:$A$45,1)):INDEX($B$3:$B$45,MATCH(CH23,$A$3:$A$45,1)+1),INDEX($A$3:$A$45,MATCH(CH23,$A$3:$A$45,1)):INDEX($A$3:$A$45,MATCH(CH23,$A$3:$A$45,1)+1))</f>
        <v>#N/A</v>
      </c>
      <c r="CJ23" s="74" t="e">
        <f t="shared" si="14"/>
        <v>#N/A</v>
      </c>
    </row>
    <row r="24" spans="1:88" x14ac:dyDescent="0.25">
      <c r="A24" s="2">
        <v>200</v>
      </c>
      <c r="B24" s="2">
        <v>67</v>
      </c>
      <c r="C24" s="63"/>
      <c r="D24" s="52">
        <v>20</v>
      </c>
      <c r="E24" s="61">
        <f>SUM('FU Distribution'!AB86:$AB$109)+IF('FU Distribution'!$D$112=1,'FU Distribution'!$D$114,0)</f>
        <v>0</v>
      </c>
      <c r="F24" s="96" t="e">
        <f>FORECAST((SUM(E24:E1018)),INDEX($B$3:$B$45,MATCH((SUM(E24:E1018)),$A$3:$A$45,1)):INDEX($B$3:$B$45,MATCH((SUM(E24:E1018)),$A$3:$A$45,1)+1),INDEX($A$3:$A$45,MATCH((SUM(E24:E1018)),$A$3:$A$45,1)):INDEX($A$3:$A$45,MATCH((SUM(E24:E1018)),$A$3:$A$45,1)+1))</f>
        <v>#N/A</v>
      </c>
      <c r="G24" s="97" t="e">
        <f t="shared" si="65"/>
        <v>#N/A</v>
      </c>
      <c r="H24" s="61">
        <f>SUM('FU Distribution'!AC86:$AC$109)</f>
        <v>0</v>
      </c>
      <c r="I24" s="96" t="e">
        <f>FORECAST((SUM(H24:H1019)),INDEX($B$3:$B$45,MATCH((SUM(H24:H1019)),$A$3:$A$45,1)):INDEX($B$3:$B$45,MATCH((SUM(H24:H1019)),$A$3:$A$45,1)+1),INDEX($A$3:$A$45,MATCH((SUM(H24:H1019)),$A$3:$A$45,1)):INDEX($A$3:$A$45,MATCH((SUM(H24:H1019)),$A$3:$A$45,1)+1))</f>
        <v>#N/A</v>
      </c>
      <c r="J24" s="97" t="e">
        <f t="shared" si="66"/>
        <v>#N/A</v>
      </c>
      <c r="K24" s="75">
        <f>SUM('FU Distribution'!AE86:$AE$109)+IF('FU Distribution'!$D$112=2,'FU Distribution'!$D$114,0)</f>
        <v>0</v>
      </c>
      <c r="L24" s="96" t="e">
        <f>FORECAST((SUM(K24:K1019)),INDEX($B$3:$B$45,MATCH((SUM(K24:K1019)),$A$3:$A$45,1)):INDEX($B$3:$B$45,MATCH((SUM(K24:K1019)),$A$3:$A$45,1)+1),INDEX($A$3:$A$45,MATCH((SUM(K24:K1019)),$A$3:$A$45,1)):INDEX($A$3:$A$45,MATCH((SUM(K24:K1019)),$A$3:$A$45,1)+1))</f>
        <v>#N/A</v>
      </c>
      <c r="M24" s="97" t="e">
        <f t="shared" si="67"/>
        <v>#N/A</v>
      </c>
      <c r="N24" s="75">
        <f>SUM('FU Distribution'!AF86:$AF$109)</f>
        <v>0</v>
      </c>
      <c r="O24" s="96" t="e">
        <f>FORECAST((SUM(N24:N1019)),INDEX($B$3:$B$45,MATCH((SUM(N24:N1019)),$A$3:$A$45,1)):INDEX($B$3:$B$45,MATCH((SUM(N24:N1019)),$A$3:$A$45,1)+1),INDEX($A$3:$A$45,MATCH((SUM(N24:N1019)),$A$3:$A$45,1)):INDEX($A$3:$A$45,MATCH((SUM(N24:N1019)),$A$3:$A$45,1)+1))</f>
        <v>#N/A</v>
      </c>
      <c r="P24" s="97" t="e">
        <f t="shared" si="68"/>
        <v>#N/A</v>
      </c>
      <c r="Q24" s="61">
        <f>SUM('FU Distribution'!AH86:$AH$109)+IF('FU Distribution'!$D$112=3,'FU Distribution'!$D$114,0)</f>
        <v>0</v>
      </c>
      <c r="R24" s="96" t="e">
        <f>FORECAST((SUM(Q24:Q1019)),INDEX($B$3:$B$45,MATCH((SUM(Q24:Q1019)),$A$3:$A$45,1)):INDEX($B$3:$B$45,MATCH((SUM(Q24:Q1019)),$A$3:$A$45,1)+1),INDEX($A$3:$A$45,MATCH((SUM(Q24:Q1019)),$A$3:$A$45,1)):INDEX($A$3:$A$45,MATCH((SUM(Q24:Q1019)),$A$3:$A$45,1)+1))</f>
        <v>#N/A</v>
      </c>
      <c r="S24" s="97" t="e">
        <f t="shared" si="69"/>
        <v>#N/A</v>
      </c>
      <c r="T24" s="61">
        <f>SUM('FU Distribution'!AI86:$AI$109)</f>
        <v>0</v>
      </c>
      <c r="U24" s="96" t="e">
        <f>FORECAST((SUM(T24:T1019)),INDEX($B$3:$B$45,MATCH((SUM(T24:T1019)),$A$3:$A$45,1)):INDEX($B$3:$B$45,MATCH((SUM(T24:T1019)),$A$3:$A$45,1)+1),INDEX($A$3:$A$45,MATCH((SUM(T24:T1019)),$A$3:$A$45,1)):INDEX($A$3:$A$45,MATCH((SUM(T24:T1019)),$A$3:$A$45,1)+1))</f>
        <v>#N/A</v>
      </c>
      <c r="V24" s="97" t="e">
        <f t="shared" si="0"/>
        <v>#N/A</v>
      </c>
      <c r="W24" s="75">
        <f>SUM('FU Distribution'!AK86:$AK$109)+IF('FU Distribution'!$D$112=4,'FU Distribution'!$D$114,0)</f>
        <v>0</v>
      </c>
      <c r="X24" s="96" t="e">
        <f>FORECAST((SUM(W24:W1019)),INDEX($B$3:$B$45,MATCH((SUM(W24:W1019)),$A$3:$A$45,1)):INDEX($B$3:$B$45,MATCH((SUM(W24:W1019)),$A$3:$A$45,1)+1),INDEX($A$3:$A$45,MATCH((SUM(W24:W1019)),$A$3:$A$45,1)):INDEX($A$3:$A$45,MATCH((SUM(W24:W1019)),$A$3:$A$45,1)+1))</f>
        <v>#N/A</v>
      </c>
      <c r="Y24" s="97" t="e">
        <f t="shared" si="1"/>
        <v>#N/A</v>
      </c>
      <c r="Z24" s="75">
        <f>SUM('FU Distribution'!AL86:$AL$109)</f>
        <v>0</v>
      </c>
      <c r="AA24" s="96" t="e">
        <f>FORECAST((SUM(Z24:Z1019)),INDEX($B$3:$B$45,MATCH((SUM(Z24:Z1019)),$A$3:$A$45,1)):INDEX($B$3:$B$45,MATCH((SUM(Z24:Z1019)),$A$3:$A$45,1)+1),INDEX($A$3:$A$45,MATCH((SUM(Z24:Z1019)),$A$3:$A$45,1)):INDEX($A$3:$A$45,MATCH((SUM(Z24:Z1019)),$A$3:$A$45,1)+1))</f>
        <v>#N/A</v>
      </c>
      <c r="AB24" s="97" t="e">
        <f t="shared" si="70"/>
        <v>#N/A</v>
      </c>
      <c r="AC24" s="61">
        <f>SUM('FU Distribution'!AN86:$AN$109)+IF('FU Distribution'!$D$112=5,'FU Distribution'!$D$114,0)</f>
        <v>0</v>
      </c>
      <c r="AD24" s="96" t="e">
        <f>FORECAST((SUM(AC24:AC1019)),INDEX($B$3:$B$45,MATCH((SUM(AC24:AC1019)),$A$3:$A$45,1)):INDEX($B$3:$B$45,MATCH((SUM(AC24:AC1019)),$A$3:$A$45,1)+1),INDEX($A$3:$A$45,MATCH((SUM(AC24:AC1019)),$A$3:$A$45,1)):INDEX($A$3:$A$45,MATCH((SUM(AC24:AC1019)),$A$3:$A$45,1)+1))</f>
        <v>#N/A</v>
      </c>
      <c r="AE24" s="97" t="e">
        <f t="shared" si="71"/>
        <v>#N/A</v>
      </c>
      <c r="AF24" s="61">
        <f>SUM('FU Distribution'!AO86:$AO$109)</f>
        <v>0</v>
      </c>
      <c r="AG24" s="96" t="e">
        <f>FORECAST((SUM(AF24:AF1019)),INDEX($B$3:$B$45,MATCH((SUM(AF24:AF1019)),$A$3:$A$45,1)):INDEX($B$3:$B$45,MATCH((SUM(AF24:AF1019)),$A$3:$A$45,1)+1),INDEX($A$3:$A$45,MATCH((SUM(AF24:AF1019)),$A$3:$A$45,1)):INDEX($A$3:$A$45,MATCH((SUM(AF24:AF1019)),$A$3:$A$45,1)+1))</f>
        <v>#N/A</v>
      </c>
      <c r="AH24" s="97" t="e">
        <f t="shared" si="72"/>
        <v>#N/A</v>
      </c>
      <c r="AI24" s="75">
        <f>SUM('FU Distribution'!AQ86:$AQ$109)+IF('FU Distribution'!$D$112=6,'FU Distribution'!$D$114,0)</f>
        <v>0</v>
      </c>
      <c r="AJ24" s="96" t="e">
        <f>FORECAST((SUM(AI24:AI1019)),INDEX($B$3:$B$45,MATCH((SUM(AI24:AI1019)),$A$3:$A$45,1)):INDEX($B$3:$B$45,MATCH((SUM(AI24:AI1019)),$A$3:$A$45,1)+1),INDEX($A$3:$A$45,MATCH((SUM(AI24:AI1019)),$A$3:$A$45,1)):INDEX($A$3:$A$45,MATCH((SUM(AI24:AI1019)),$A$3:$A$45,1)+1))</f>
        <v>#N/A</v>
      </c>
      <c r="AK24" s="97" t="e">
        <f t="shared" si="73"/>
        <v>#N/A</v>
      </c>
      <c r="AL24" s="75">
        <f>SUM('FU Distribution'!AR86:$AR$109)</f>
        <v>0</v>
      </c>
      <c r="AM24" s="96" t="e">
        <f>FORECAST((SUM(AL24:AL1019)),INDEX($B$3:$B$45,MATCH((SUM(AL24:AL1019)),$A$3:$A$45,1)):INDEX($B$3:$B$45,MATCH((SUM(AL24:AL1019)),$A$3:$A$45,1)+1),INDEX($A$3:$A$45,MATCH((SUM(AL24:AL1019)),$A$3:$A$45,1)):INDEX($A$3:$A$45,MATCH((SUM(AL24:AL1019)),$A$3:$A$45,1)+1))</f>
        <v>#N/A</v>
      </c>
      <c r="AN24" s="97" t="e">
        <f t="shared" si="74"/>
        <v>#N/A</v>
      </c>
      <c r="AO24" s="61">
        <f>SUM('FU Distribution'!AT86:$AT$109)+IF('FU Distribution'!$D$112=7,'FU Distribution'!$D$114,0)</f>
        <v>0</v>
      </c>
      <c r="AP24" s="96" t="e">
        <f>FORECAST((SUM(AO24:AO1019)),INDEX($B$3:$B$45,MATCH((SUM(AO24:AO1019)),$A$3:$A$45,1)):INDEX($B$3:$B$45,MATCH((SUM(AO24:AO1019)),$A$3:$A$45,1)+1),INDEX($A$3:$A$45,MATCH((SUM(AO24:AO1019)),$A$3:$A$45,1)):INDEX($A$3:$A$45,MATCH((SUM(AO24:AO1019)),$A$3:$A$45,1)+1))</f>
        <v>#N/A</v>
      </c>
      <c r="AQ24" s="97" t="e">
        <f t="shared" si="75"/>
        <v>#N/A</v>
      </c>
      <c r="AR24" s="61">
        <f>SUM('FU Distribution'!AU86:$AU$109)</f>
        <v>0</v>
      </c>
      <c r="AS24" s="96" t="e">
        <f>FORECAST((SUM(AR24:AR1019)),INDEX($B$3:$B$45,MATCH((SUM(AR24:AR1019)),$A$3:$A$45,1)):INDEX($B$3:$B$45,MATCH((SUM(AR24:AR1019)),$A$3:$A$45,1)+1),INDEX($A$3:$A$45,MATCH((SUM(AR24:AR1019)),$A$3:$A$45,1)):INDEX($A$3:$A$45,MATCH((SUM(AR24:AR1019)),$A$3:$A$45,1)+1))</f>
        <v>#N/A</v>
      </c>
      <c r="AT24" s="97" t="e">
        <f t="shared" si="76"/>
        <v>#N/A</v>
      </c>
      <c r="AU24" s="61">
        <f>SUM('FU Distribution'!AW86:$AW$109)+IF('FU Distribution'!$D$112=8,'FU Distribution'!$D$114,0)</f>
        <v>0</v>
      </c>
      <c r="AV24" s="98" t="e">
        <f>FORECAST(AU24,INDEX($B$3:$B$45,MATCH(AU24,$A$3:$A$45,1)):INDEX($B$3:$B$45,MATCH(AU24,$A$3:$A$45,1)+1),INDEX($A$3:$A$45,MATCH(AU24,$A$3:$A$45,1)):INDEX($A$3:$A$45,MATCH(AU24,$A$3:$A$45,1)+1))</f>
        <v>#N/A</v>
      </c>
      <c r="AW24" s="97" t="e">
        <f t="shared" si="77"/>
        <v>#N/A</v>
      </c>
      <c r="AX24" s="61">
        <f>SUM('FU Distribution'!AX86:$AX$109)</f>
        <v>0</v>
      </c>
      <c r="AY24" s="98" t="e">
        <f>FORECAST(AX24,INDEX($B$3:$B$45,MATCH(AX24,$A$3:$A$45,1)):INDEX($B$3:$B$45,MATCH(AX24,$A$3:$A$45,1)+1),INDEX($A$3:$A$45,MATCH(AX24,$A$3:$A$45,1)):INDEX($A$3:$A$45,MATCH(AX24,$A$3:$A$45,1)+1))</f>
        <v>#N/A</v>
      </c>
      <c r="AZ24" s="97" t="e">
        <f t="shared" si="78"/>
        <v>#N/A</v>
      </c>
      <c r="BA24" s="75">
        <f>SUM('FU Distribution'!AZ86:$AZ$109)+IF('FU Distribution'!$D$112=9,'FU Distribution'!$D$114,0)</f>
        <v>0</v>
      </c>
      <c r="BB24" s="76" t="e">
        <f>FORECAST((SUM(BA24:BA1019)),INDEX($B$3:$B$45,MATCH((SUM(BA24:BA1019)),$A$3:$A$45,1)):INDEX($B$3:$B$45,MATCH((SUM(BA24:BA1019)),$A$3:$A$45,1)+1),INDEX($A$3:$A$45,MATCH((SUM(BA24:BA1019)),$A$3:$A$45,1)):INDEX($A$3:$A$45,MATCH((SUM(BA24:BA1019)),$A$3:$A$45,1)+1))</f>
        <v>#N/A</v>
      </c>
      <c r="BC24" s="77" t="e">
        <f t="shared" si="3"/>
        <v>#N/A</v>
      </c>
      <c r="BD24" s="75">
        <f>SUM('FU Distribution'!BA86:$BA$109)</f>
        <v>0</v>
      </c>
      <c r="BE24" s="76" t="e">
        <f>FORECAST((SUM(BD24:BD1019)),INDEX($B$3:$B$45,MATCH((SUM(BD24:BD1019)),$A$3:$A$45,1)):INDEX($B$3:$B$45,MATCH((SUM(BD24:BD1019)),$A$3:$A$45,1)+1),INDEX($A$3:$A$45,MATCH((SUM(BD24:BD1019)),$A$3:$A$45,1)):INDEX($A$3:$A$45,MATCH((SUM(BD24:BD1019)),$A$3:$A$45,1)+1))</f>
        <v>#N/A</v>
      </c>
      <c r="BF24" s="77" t="e">
        <f t="shared" si="4"/>
        <v>#N/A</v>
      </c>
      <c r="BG24" s="61">
        <f>SUM('FU Distribution'!BC86:$BC$109)+IF('FU Distribution'!$D$112=10,'FU Distribution'!$D$114,0)</f>
        <v>0</v>
      </c>
      <c r="BH24" s="62" t="e">
        <f>FORECAST((SUM(BG24:BG1019)),INDEX($B$3:$B$45,MATCH((SUM(BG24:BG1019)),$A$3:$A$45,1)):INDEX($B$3:$B$45,MATCH((SUM(BG24:BG1019)),$A$3:$A$45,1)+1),INDEX($A$3:$A$45,MATCH((SUM(BG24:BG1019)),$A$3:$A$45,1)):INDEX($A$3:$A$45,MATCH((SUM(BG24:BG1019)),$A$3:$A$45,1)+1))</f>
        <v>#N/A</v>
      </c>
      <c r="BI24" s="74" t="e">
        <f t="shared" si="5"/>
        <v>#N/A</v>
      </c>
      <c r="BJ24" s="61">
        <f>SUM('FU Distribution'!BD86:$BD$109)</f>
        <v>0</v>
      </c>
      <c r="BK24" s="62" t="e">
        <f>FORECAST((SUM(BJ24:BJ1019)),INDEX($B$3:$B$45,MATCH((SUM(BJ24:BJ1019)),$A$3:$A$45,1)):INDEX($B$3:$B$45,MATCH((SUM(BJ24:BJ1019)),$A$3:$A$45,1)+1),INDEX($A$3:$A$45,MATCH((SUM(BJ24:BJ1019)),$A$3:$A$45,1)):INDEX($A$3:$A$45,MATCH((SUM(BJ24:BJ1019)),$A$3:$A$45,1)+1))</f>
        <v>#N/A</v>
      </c>
      <c r="BL24" s="74" t="e">
        <f t="shared" si="6"/>
        <v>#N/A</v>
      </c>
      <c r="BM24" s="75">
        <f>SUM('FU Distribution'!BF86:$BF$109)+IF('FU Distribution'!$D$112=11,'FU Distribution'!$D$114,0)</f>
        <v>0</v>
      </c>
      <c r="BN24" s="76" t="e">
        <f>FORECAST((SUM(BM24:BM1019)),INDEX($B$3:$B$45,MATCH((SUM(BM24:BM1019)),$A$3:$A$45,1)):INDEX($B$3:$B$45,MATCH((SUM(BM24:BM1019)),$A$3:$A$45,1)+1),INDEX($A$3:$A$45,MATCH((SUM(BM24:BM1019)),$A$3:$A$45,1)):INDEX($A$3:$A$45,MATCH((SUM(BM24:BM1019)),$A$3:$A$45,1)+1))</f>
        <v>#N/A</v>
      </c>
      <c r="BO24" s="77" t="e">
        <f t="shared" si="7"/>
        <v>#N/A</v>
      </c>
      <c r="BP24" s="75">
        <f>SUM('FU Distribution'!BG86:$BG$109)</f>
        <v>0</v>
      </c>
      <c r="BQ24" s="76" t="e">
        <f>FORECAST((SUM(BP24:BP1019)),INDEX($B$3:$B$45,MATCH((SUM(BP24:BP1019)),$A$3:$A$45,1)):INDEX($B$3:$B$45,MATCH((SUM(BP24:BP1019)),$A$3:$A$45,1)+1),INDEX($A$3:$A$45,MATCH((SUM(BP24:BP1019)),$A$3:$A$45,1)):INDEX($A$3:$A$45,MATCH((SUM(BP24:BP1019)),$A$3:$A$45,1)+1))</f>
        <v>#N/A</v>
      </c>
      <c r="BR24" s="77" t="e">
        <f t="shared" si="8"/>
        <v>#N/A</v>
      </c>
      <c r="BS24" s="61">
        <f>SUM('FU Distribution'!BI86:$BI$109)+IF('FU Distribution'!$D$112=12,'FU Distribution'!$D$114,0)</f>
        <v>0</v>
      </c>
      <c r="BT24" s="62" t="e">
        <f>FORECAST(BS24,INDEX($B$3:$B$45,MATCH(BS24,$A$3:$A$45,1)):INDEX($B$3:$B$45,MATCH(BS24,$A$3:$A$45,1)+1),INDEX($A$3:$A$45,MATCH(BS24,$A$3:$A$45,1)):INDEX($A$3:$A$45,MATCH(BS24,$A$3:$A$45,1)+1))</f>
        <v>#N/A</v>
      </c>
      <c r="BU24" s="74" t="e">
        <f t="shared" si="9"/>
        <v>#N/A</v>
      </c>
      <c r="BV24" s="61">
        <f>SUM('FU Distribution'!BJ86:$BJ$109)</f>
        <v>0</v>
      </c>
      <c r="BW24" s="62" t="e">
        <f>FORECAST(BV24,INDEX($B$3:$B$45,MATCH(BV24,$A$3:$A$45,1)):INDEX($B$3:$B$45,MATCH(BV24,$A$3:$A$45,1)+1),INDEX($A$3:$A$45,MATCH(BV24,$A$3:$A$45,1)):INDEX($A$3:$A$45,MATCH(BV24,$A$3:$A$45,1)+1))</f>
        <v>#N/A</v>
      </c>
      <c r="BX24" s="74" t="e">
        <f t="shared" si="10"/>
        <v>#N/A</v>
      </c>
      <c r="BY24" s="75">
        <f>SUM('FU Distribution'!BL86:$BL$109)+IF('FU Distribution'!$D$112=13,'FU Distribution'!$D$114,0)</f>
        <v>0</v>
      </c>
      <c r="BZ24" s="76" t="e">
        <f>FORECAST(BY24,INDEX($B$3:$B$45,MATCH(BY24,$A$3:$A$45,1)):INDEX($B$3:$B$45,MATCH(BY24,$A$3:$A$45,1)+1),INDEX($A$3:$A$45,MATCH(BY24,$A$3:$A$45,1)):INDEX($A$3:$A$45,MATCH(BY24,$A$3:$A$45,1)+1))</f>
        <v>#N/A</v>
      </c>
      <c r="CA24" s="77" t="e">
        <f t="shared" si="11"/>
        <v>#N/A</v>
      </c>
      <c r="CB24" s="75">
        <f>SUM('FU Distribution'!BM86:$BM$109)</f>
        <v>0</v>
      </c>
      <c r="CC24" s="76" t="e">
        <f>FORECAST(CB24,INDEX($B$3:$B$45,MATCH(CB24,$A$3:$A$45,1)):INDEX($B$3:$B$45,MATCH(CB24,$A$3:$A$45,1)+1),INDEX($A$3:$A$45,MATCH(CB24,$A$3:$A$45,1)):INDEX($A$3:$A$45,MATCH(CB24,$A$3:$A$45,1)+1))</f>
        <v>#N/A</v>
      </c>
      <c r="CD24" s="77" t="e">
        <f t="shared" si="12"/>
        <v>#N/A</v>
      </c>
      <c r="CE24" s="61">
        <f>SUM('FU Distribution'!BO86:$BO$109)+IF('FU Distribution'!$D$112=13,'FU Distribution'!$D$114,0)</f>
        <v>0</v>
      </c>
      <c r="CF24" s="62" t="e">
        <f>FORECAST(CE24,INDEX($B$3:$B$45,MATCH(CE24,$A$3:$A$45,1)):INDEX($B$3:$B$45,MATCH(CE24,$A$3:$A$45,1)+1),INDEX($A$3:$A$45,MATCH(CE24,$A$3:$A$45,1)):INDEX($A$3:$A$45,MATCH(CE24,$A$3:$A$45,1)+1))</f>
        <v>#N/A</v>
      </c>
      <c r="CG24" s="74" t="e">
        <f t="shared" si="13"/>
        <v>#N/A</v>
      </c>
      <c r="CH24" s="61">
        <f>SUM('FU Distribution'!BP86:$BP$109)</f>
        <v>0</v>
      </c>
      <c r="CI24" s="62" t="e">
        <f>FORECAST(CH24,INDEX($B$3:$B$45,MATCH(CH24,$A$3:$A$45,1)):INDEX($B$3:$B$45,MATCH(CH24,$A$3:$A$45,1)+1),INDEX($A$3:$A$45,MATCH(CH24,$A$3:$A$45,1)):INDEX($A$3:$A$45,MATCH(CH24,$A$3:$A$45,1)+1))</f>
        <v>#N/A</v>
      </c>
      <c r="CJ24" s="74" t="e">
        <f t="shared" si="14"/>
        <v>#N/A</v>
      </c>
    </row>
    <row r="25" spans="1:88" x14ac:dyDescent="0.25">
      <c r="A25" s="2">
        <v>210</v>
      </c>
      <c r="B25" s="2">
        <v>68.5</v>
      </c>
      <c r="C25" s="63"/>
      <c r="D25" s="52">
        <v>21</v>
      </c>
      <c r="E25" s="61">
        <f>SUM('FU Distribution'!AB87:$AB$109)+IF('FU Distribution'!$D$112=1,'FU Distribution'!$D$114,0)</f>
        <v>0</v>
      </c>
      <c r="F25" s="98" t="e">
        <f>FORECAST((SUM(E25:E1020)),INDEX($B$3:$B$45,MATCH((SUM(E25:E1020)),$A$3:$A$45,1)):INDEX($B$3:$B$45,MATCH((SUM(E25:E1020)),$A$3:$A$45,1)+1),INDEX($A$3:$A$45,MATCH((SUM(E25:E1020)),$A$3:$A$45,1)):INDEX($A$3:$A$45,MATCH((SUM(E25:E1020)),$A$3:$A$45,1)+1))</f>
        <v>#N/A</v>
      </c>
      <c r="G25" s="99" t="e">
        <f t="shared" ref="G25:G29" si="79">IF(AND(F25&lt;=750,F25&gt;250),6,IF(AND(F25&lt;=250,F25&gt;120),4,IF(AND(F25&lt;=120,F25&gt;75),3,IF(AND(F25&lt;=75,F25&gt;40),2.5,IF(AND(F25&lt;=40,F25&gt;20),2,IF(AND(F25&lt;=20,F25&gt;14),1.5,IF(AND(F25&lt;=14,F25&gt;7),1.25,IF(AND(F25&lt;=7,F25&gt;3.5),1,IF(AND(F25&lt;=3.5,F25&gt;1.7),0.75,IF(AND(F25&lt;=1.7,F25&gt;0),0.5))))))))))</f>
        <v>#N/A</v>
      </c>
      <c r="H25" s="61">
        <f>SUM('FU Distribution'!AC87:$AC$109)</f>
        <v>0</v>
      </c>
      <c r="I25" s="98" t="e">
        <f>FORECAST((SUM(H25:H1020)),INDEX($B$3:$B$45,MATCH((SUM(H25:H1020)),$A$3:$A$45,1)):INDEX($B$3:$B$45,MATCH((SUM(H25:H1020)),$A$3:$A$45,1)+1),INDEX($A$3:$A$45,MATCH((SUM(H25:H1020)),$A$3:$A$45,1)):INDEX($A$3:$A$45,MATCH((SUM(H25:H1020)),$A$3:$A$45,1)+1))</f>
        <v>#N/A</v>
      </c>
      <c r="J25" s="99" t="e">
        <f t="shared" ref="J25:J29" si="80">IF(AND(I25&lt;=750,I25&gt;250),6,IF(AND(I25&lt;=250,I25&gt;120),4,IF(AND(I25&lt;=120,I25&gt;75),3,IF(AND(I25&lt;=75,I25&gt;40),2.5,IF(AND(I25&lt;=40,I25&gt;20),2,IF(AND(I25&lt;=20,I25&gt;14),1.5,IF(AND(I25&lt;=14,I25&gt;7),1.25,IF(AND(I25&lt;=7,I25&gt;3.5),1,IF(AND(I25&lt;=3.5,I25&gt;1.7),0.75,IF(AND(I25&lt;=1.7,I25&gt;0),0.5))))))))))</f>
        <v>#N/A</v>
      </c>
      <c r="K25" s="75">
        <f>SUM('FU Distribution'!AE87:$AE$109)+IF('FU Distribution'!$D$112=2,'FU Distribution'!$D$114,0)</f>
        <v>0</v>
      </c>
      <c r="L25" s="100" t="e">
        <f>FORECAST((SUM(K25:K1020)),INDEX($B$3:$B$45,MATCH((SUM(K25:K1020)),$A$3:$A$45,1)):INDEX($B$3:$B$45,MATCH((SUM(K25:K1020)),$A$3:$A$45,1)+1),INDEX($A$3:$A$45,MATCH((SUM(K25:K1020)),$A$3:$A$45,1)):INDEX($A$3:$A$45,MATCH((SUM(K25:K1020)),$A$3:$A$45,1)+1))</f>
        <v>#N/A</v>
      </c>
      <c r="M25" s="101" t="e">
        <f t="shared" ref="M25:M29" si="81">IF(AND(L25&lt;=750,L25&gt;250),6,IF(AND(L25&lt;=250,L25&gt;120),4,IF(AND(L25&lt;=120,L25&gt;75),3,IF(AND(L25&lt;=75,L25&gt;40),2.5,IF(AND(L25&lt;=40,L25&gt;20),2,IF(AND(L25&lt;=20,L25&gt;14),1.5,IF(AND(L25&lt;=14,L25&gt;7),1.25,IF(AND(L25&lt;=7,L25&gt;3.5),1,IF(AND(L25&lt;=3.5,L25&gt;1.7),0.75,IF(AND(L25&lt;=1.7,L25&gt;0),0.5))))))))))</f>
        <v>#N/A</v>
      </c>
      <c r="N25" s="75">
        <f>SUM('FU Distribution'!AF87:$AF$109)</f>
        <v>0</v>
      </c>
      <c r="O25" s="100" t="e">
        <f>FORECAST((SUM(N25:N1020)),INDEX($B$3:$B$45,MATCH((SUM(N25:N1020)),$A$3:$A$45,1)):INDEX($B$3:$B$45,MATCH((SUM(N25:N1020)),$A$3:$A$45,1)+1),INDEX($A$3:$A$45,MATCH((SUM(N25:N1020)),$A$3:$A$45,1)):INDEX($A$3:$A$45,MATCH((SUM(N25:N1020)),$A$3:$A$45,1)+1))</f>
        <v>#N/A</v>
      </c>
      <c r="P25" s="101" t="e">
        <f t="shared" ref="P25:P29" si="82">IF(AND(O25&lt;=750,O25&gt;250),6,IF(AND(O25&lt;=250,O25&gt;120),4,IF(AND(O25&lt;=120,O25&gt;75),3,IF(AND(O25&lt;=75,O25&gt;40),2.5,IF(AND(O25&lt;=40,O25&gt;20),2,IF(AND(O25&lt;=20,O25&gt;14),1.5,IF(AND(O25&lt;=14,O25&gt;7),1.25,IF(AND(O25&lt;=7,O25&gt;3.5),1,IF(AND(O25&lt;=3.5,O25&gt;1.7),0.75,IF(AND(O25&lt;=1.7,O25&gt;0),0.5))))))))))</f>
        <v>#N/A</v>
      </c>
      <c r="Q25" s="61">
        <f>SUM('FU Distribution'!AH87:$AH$109)+IF('FU Distribution'!$D$112=3,'FU Distribution'!$D$114,0)</f>
        <v>0</v>
      </c>
      <c r="R25" s="98" t="e">
        <f>FORECAST((SUM(Q25:Q1020)),INDEX($B$3:$B$45,MATCH((SUM(Q25:Q1020)),$A$3:$A$45,1)):INDEX($B$3:$B$45,MATCH((SUM(Q25:Q1020)),$A$3:$A$45,1)+1),INDEX($A$3:$A$45,MATCH((SUM(Q25:Q1020)),$A$3:$A$45,1)):INDEX($A$3:$A$45,MATCH((SUM(Q25:Q1020)),$A$3:$A$45,1)+1))</f>
        <v>#N/A</v>
      </c>
      <c r="S25" s="99" t="e">
        <f t="shared" ref="S25:S29" si="83">IF(AND(R25&lt;=750,R25&gt;250),6,IF(AND(R25&lt;=250,R25&gt;120),4,IF(AND(R25&lt;=120,R25&gt;75),3,IF(AND(R25&lt;=75,R25&gt;40),2.5,IF(AND(R25&lt;=40,R25&gt;20),2,IF(AND(R25&lt;=20,R25&gt;14),1.5,IF(AND(R25&lt;=14,R25&gt;7),1.25,IF(AND(R25&lt;=7,R25&gt;3.5),1,IF(AND(R25&lt;=3.5,R25&gt;1.7),0.75,IF(AND(R25&lt;=1.7,R25&gt;0),0.5))))))))))</f>
        <v>#N/A</v>
      </c>
      <c r="T25" s="61">
        <f>SUM('FU Distribution'!AI87:$AI$109)</f>
        <v>0</v>
      </c>
      <c r="U25" s="98" t="e">
        <f>FORECAST((SUM(T25:T1020)),INDEX($B$3:$B$45,MATCH((SUM(T25:T1020)),$A$3:$A$45,1)):INDEX($B$3:$B$45,MATCH((SUM(T25:T1020)),$A$3:$A$45,1)+1),INDEX($A$3:$A$45,MATCH((SUM(T25:T1020)),$A$3:$A$45,1)):INDEX($A$3:$A$45,MATCH((SUM(T25:T1020)),$A$3:$A$45,1)+1))</f>
        <v>#N/A</v>
      </c>
      <c r="V25" s="99" t="e">
        <f t="shared" si="0"/>
        <v>#N/A</v>
      </c>
      <c r="W25" s="75">
        <f>SUM('FU Distribution'!AK87:$AK$109)+IF('FU Distribution'!$D$112=4,'FU Distribution'!$D$114,0)</f>
        <v>0</v>
      </c>
      <c r="X25" s="100" t="e">
        <f>FORECAST((SUM(W25:W1020)),INDEX($B$3:$B$45,MATCH((SUM(W25:W1020)),$A$3:$A$45,1)):INDEX($B$3:$B$45,MATCH((SUM(W25:W1020)),$A$3:$A$45,1)+1),INDEX($A$3:$A$45,MATCH((SUM(W25:W1020)),$A$3:$A$45,1)):INDEX($A$3:$A$45,MATCH((SUM(W25:W1020)),$A$3:$A$45,1)+1))</f>
        <v>#N/A</v>
      </c>
      <c r="Y25" s="101" t="e">
        <f t="shared" si="1"/>
        <v>#N/A</v>
      </c>
      <c r="Z25" s="75">
        <f>SUM('FU Distribution'!AL87:$AL$109)</f>
        <v>0</v>
      </c>
      <c r="AA25" s="100" t="e">
        <f>FORECAST((SUM(Z25:Z1020)),INDEX($B$3:$B$45,MATCH((SUM(Z25:Z1020)),$A$3:$A$45,1)):INDEX($B$3:$B$45,MATCH((SUM(Z25:Z1020)),$A$3:$A$45,1)+1),INDEX($A$3:$A$45,MATCH((SUM(Z25:Z1020)),$A$3:$A$45,1)):INDEX($A$3:$A$45,MATCH((SUM(Z25:Z1020)),$A$3:$A$45,1)+1))</f>
        <v>#N/A</v>
      </c>
      <c r="AB25" s="101" t="e">
        <f t="shared" ref="AB25:AB29" si="84">IF(AND(AA25&lt;=750,AA25&gt;250),6,IF(AND(AA25&lt;=250,AA25&gt;120),4,IF(AND(AA25&lt;=120,AA25&gt;75),3,IF(AND(AA25&lt;=75,AA25&gt;40),2.5,IF(AND(AA25&lt;=40,AA25&gt;20),2,IF(AND(AA25&lt;=20,AA25&gt;14),1.5,IF(AND(AA25&lt;=14,AA25&gt;7),1.25,IF(AND(AA25&lt;=7,AA25&gt;3.5),1,IF(AND(AA25&lt;=3.5,AA25&gt;1.7),0.75,IF(AND(AA25&lt;=1.7,AA25&gt;0),0.5))))))))))</f>
        <v>#N/A</v>
      </c>
      <c r="AC25" s="61">
        <f>SUM('FU Distribution'!AN87:$AN$109)+IF('FU Distribution'!$D$112=5,'FU Distribution'!$D$114,0)</f>
        <v>0</v>
      </c>
      <c r="AD25" s="98" t="e">
        <f>FORECAST((SUM(AC25:AC1020)),INDEX($B$3:$B$45,MATCH((SUM(AC25:AC1020)),$A$3:$A$45,1)):INDEX($B$3:$B$45,MATCH((SUM(AC25:AC1020)),$A$3:$A$45,1)+1),INDEX($A$3:$A$45,MATCH((SUM(AC25:AC1020)),$A$3:$A$45,1)):INDEX($A$3:$A$45,MATCH((SUM(AC25:AC1020)),$A$3:$A$45,1)+1))</f>
        <v>#N/A</v>
      </c>
      <c r="AE25" s="99" t="e">
        <f t="shared" ref="AE25:AE29" si="85">IF(AND(AD25&lt;=750,AD25&gt;250),6,IF(AND(AD25&lt;=250,AD25&gt;120),4,IF(AND(AD25&lt;=120,AD25&gt;75),3,IF(AND(AD25&lt;=75,AD25&gt;40),2.5,IF(AND(AD25&lt;=40,AD25&gt;20),2,IF(AND(AD25&lt;=20,AD25&gt;14),1.5,IF(AND(AD25&lt;=14,AD25&gt;7),1.25,IF(AND(AD25&lt;=7,AD25&gt;3.5),1,IF(AND(AD25&lt;=3.5,AD25&gt;1.7),0.75,IF(AND(AD25&lt;=1.7,AD25&gt;0),0.5))))))))))</f>
        <v>#N/A</v>
      </c>
      <c r="AF25" s="61">
        <f>SUM('FU Distribution'!AO87:$AO$109)</f>
        <v>0</v>
      </c>
      <c r="AG25" s="98" t="e">
        <f>FORECAST((SUM(AF25:AF1020)),INDEX($B$3:$B$45,MATCH((SUM(AF25:AF1020)),$A$3:$A$45,1)):INDEX($B$3:$B$45,MATCH((SUM(AF25:AF1020)),$A$3:$A$45,1)+1),INDEX($A$3:$A$45,MATCH((SUM(AF25:AF1020)),$A$3:$A$45,1)):INDEX($A$3:$A$45,MATCH((SUM(AF25:AF1020)),$A$3:$A$45,1)+1))</f>
        <v>#N/A</v>
      </c>
      <c r="AH25" s="99" t="e">
        <f t="shared" ref="AH25:AH29" si="86">IF(AND(AG25&lt;=750,AG25&gt;250),6,IF(AND(AG25&lt;=250,AG25&gt;120),4,IF(AND(AG25&lt;=120,AG25&gt;75),3,IF(AND(AG25&lt;=75,AG25&gt;40),2.5,IF(AND(AG25&lt;=40,AG25&gt;20),2,IF(AND(AG25&lt;=20,AG25&gt;14),1.5,IF(AND(AG25&lt;=14,AG25&gt;7),1.25,IF(AND(AG25&lt;=7,AG25&gt;3.5),1,IF(AND(AG25&lt;=3.5,AG25&gt;1.7),0.75,IF(AND(AG25&lt;=1.7,AG25&gt;0),0.5))))))))))</f>
        <v>#N/A</v>
      </c>
      <c r="AI25" s="75">
        <f>SUM('FU Distribution'!AQ87:$AQ$109)+IF('FU Distribution'!$D$112=6,'FU Distribution'!$D$114,0)</f>
        <v>0</v>
      </c>
      <c r="AJ25" s="100" t="e">
        <f>FORECAST((SUM(AI25:AI1020)),INDEX($B$3:$B$45,MATCH((SUM(AI25:AI1020)),$A$3:$A$45,1)):INDEX($B$3:$B$45,MATCH((SUM(AI25:AI1020)),$A$3:$A$45,1)+1),INDEX($A$3:$A$45,MATCH((SUM(AI25:AI1020)),$A$3:$A$45,1)):INDEX($A$3:$A$45,MATCH((SUM(AI25:AI1020)),$A$3:$A$45,1)+1))</f>
        <v>#N/A</v>
      </c>
      <c r="AK25" s="101" t="e">
        <f t="shared" ref="AK25:AK29" si="87">IF(AND(AJ25&lt;=750,AJ25&gt;250),6,IF(AND(AJ25&lt;=250,AJ25&gt;120),4,IF(AND(AJ25&lt;=120,AJ25&gt;75),3,IF(AND(AJ25&lt;=75,AJ25&gt;40),2.5,IF(AND(AJ25&lt;=40,AJ25&gt;20),2,IF(AND(AJ25&lt;=20,AJ25&gt;14),1.5,IF(AND(AJ25&lt;=14,AJ25&gt;7),1.25,IF(AND(AJ25&lt;=7,AJ25&gt;3.5),1,IF(AND(AJ25&lt;=3.5,AJ25&gt;1.7),0.75,IF(AND(AJ25&lt;=1.7,AJ25&gt;0),0.5))))))))))</f>
        <v>#N/A</v>
      </c>
      <c r="AL25" s="75">
        <f>SUM('FU Distribution'!AR87:$AR$109)</f>
        <v>0</v>
      </c>
      <c r="AM25" s="100" t="e">
        <f>FORECAST((SUM(AL25:AL1020)),INDEX($B$3:$B$45,MATCH((SUM(AL25:AL1020)),$A$3:$A$45,1)):INDEX($B$3:$B$45,MATCH((SUM(AL25:AL1020)),$A$3:$A$45,1)+1),INDEX($A$3:$A$45,MATCH((SUM(AL25:AL1020)),$A$3:$A$45,1)):INDEX($A$3:$A$45,MATCH((SUM(AL25:AL1020)),$A$3:$A$45,1)+1))</f>
        <v>#N/A</v>
      </c>
      <c r="AN25" s="101" t="e">
        <f t="shared" ref="AN25:AN29" si="88">IF(AND(AM25&lt;=750,AM25&gt;250),6,IF(AND(AM25&lt;=250,AM25&gt;120),4,IF(AND(AM25&lt;=120,AM25&gt;75),3,IF(AND(AM25&lt;=75,AM25&gt;40),2.5,IF(AND(AM25&lt;=40,AM25&gt;20),2,IF(AND(AM25&lt;=20,AM25&gt;14),1.5,IF(AND(AM25&lt;=14,AM25&gt;7),1.25,IF(AND(AM25&lt;=7,AM25&gt;3.5),1,IF(AND(AM25&lt;=3.5,AM25&gt;1.7),0.75,IF(AND(AM25&lt;=1.7,AM25&gt;0),0.5))))))))))</f>
        <v>#N/A</v>
      </c>
      <c r="AO25" s="61">
        <f>SUM('FU Distribution'!AT87:$AT$109)+IF('FU Distribution'!$D$112=7,'FU Distribution'!$D$114,0)</f>
        <v>0</v>
      </c>
      <c r="AP25" s="98" t="e">
        <f>FORECAST((SUM(AO25:AO1020)),INDEX($B$3:$B$45,MATCH((SUM(AO25:AO1020)),$A$3:$A$45,1)):INDEX($B$3:$B$45,MATCH((SUM(AO25:AO1020)),$A$3:$A$45,1)+1),INDEX($A$3:$A$45,MATCH((SUM(AO25:AO1020)),$A$3:$A$45,1)):INDEX($A$3:$A$45,MATCH((SUM(AO25:AO1020)),$A$3:$A$45,1)+1))</f>
        <v>#N/A</v>
      </c>
      <c r="AQ25" s="99" t="e">
        <f t="shared" ref="AQ25:AQ29" si="89">IF(AND(AP25&lt;=750,AP25&gt;250),6,IF(AND(AP25&lt;=250,AP25&gt;120),4,IF(AND(AP25&lt;=120,AP25&gt;75),3,IF(AND(AP25&lt;=75,AP25&gt;40),2.5,IF(AND(AP25&lt;=40,AP25&gt;20),2,IF(AND(AP25&lt;=20,AP25&gt;14),1.5,IF(AND(AP25&lt;=14,AP25&gt;7),1.25,IF(AND(AP25&lt;=7,AP25&gt;3.5),1,IF(AND(AP25&lt;=3.5,AP25&gt;1.7),0.75,IF(AND(AP25&lt;=1.7,AP25&gt;0),0.5))))))))))</f>
        <v>#N/A</v>
      </c>
      <c r="AR25" s="61">
        <f>SUM('FU Distribution'!AU87:$AU$109)</f>
        <v>0</v>
      </c>
      <c r="AS25" s="98" t="e">
        <f>FORECAST((SUM(AR25:AR1020)),INDEX($B$3:$B$45,MATCH((SUM(AR25:AR1020)),$A$3:$A$45,1)):INDEX($B$3:$B$45,MATCH((SUM(AR25:AR1020)),$A$3:$A$45,1)+1),INDEX($A$3:$A$45,MATCH((SUM(AR25:AR1020)),$A$3:$A$45,1)):INDEX($A$3:$A$45,MATCH((SUM(AR25:AR1020)),$A$3:$A$45,1)+1))</f>
        <v>#N/A</v>
      </c>
      <c r="AT25" s="99" t="e">
        <f t="shared" ref="AT25:AT29" si="90">IF(AND(AS25&lt;=750,AS25&gt;250),6,IF(AND(AS25&lt;=250,AS25&gt;120),4,IF(AND(AS25&lt;=120,AS25&gt;75),3,IF(AND(AS25&lt;=75,AS25&gt;40),2.5,IF(AND(AS25&lt;=40,AS25&gt;20),2,IF(AND(AS25&lt;=20,AS25&gt;14),1.5,IF(AND(AS25&lt;=14,AS25&gt;7),1.25,IF(AND(AS25&lt;=7,AS25&gt;3.5),1,IF(AND(AS25&lt;=3.5,AS25&gt;1.7),0.75,IF(AND(AS25&lt;=1.7,AS25&gt;0),0.5))))))))))</f>
        <v>#N/A</v>
      </c>
      <c r="AU25" s="61">
        <f>SUM('FU Distribution'!AW87:$AW$109)+IF('FU Distribution'!$D$112=8,'FU Distribution'!$D$114,0)</f>
        <v>0</v>
      </c>
      <c r="AV25" s="98" t="e">
        <f>FORECAST(AU25,INDEX($B$3:$B$45,MATCH(AU25,$A$3:$A$45,1)):INDEX($B$3:$B$45,MATCH(AU25,$A$3:$A$45,1)+1),INDEX($A$3:$A$45,MATCH(AU25,$A$3:$A$45,1)):INDEX($A$3:$A$45,MATCH(AU25,$A$3:$A$45,1)+1))</f>
        <v>#N/A</v>
      </c>
      <c r="AW25" s="99" t="e">
        <f t="shared" ref="AW25:AW29" si="91">IF(AND(AV25&lt;=750,AV25&gt;250),6,IF(AND(AV25&lt;=250,AV25&gt;120),4,IF(AND(AV25&lt;=120,AV25&gt;75),3,IF(AND(AV25&lt;=75,AV25&gt;40),2.5,IF(AND(AV25&lt;=40,AV25&gt;20),2,IF(AND(AV25&lt;=20,AV25&gt;14),1.5,IF(AND(AV25&lt;=14,AV25&gt;7),1.25,IF(AND(AV25&lt;=7,AV25&gt;3.5),1,IF(AND(AV25&lt;=3.5,AV25&gt;1.7),0.75,IF(AND(AV25&lt;=1.7,AV25&gt;0),0.5))))))))))</f>
        <v>#N/A</v>
      </c>
      <c r="AX25" s="61">
        <f>SUM('FU Distribution'!AX87:$AX$109)</f>
        <v>0</v>
      </c>
      <c r="AY25" s="98" t="e">
        <f>FORECAST(AX25,INDEX($B$3:$B$45,MATCH(AX25,$A$3:$A$45,1)):INDEX($B$3:$B$45,MATCH(AX25,$A$3:$A$45,1)+1),INDEX($A$3:$A$45,MATCH(AX25,$A$3:$A$45,1)):INDEX($A$3:$A$45,MATCH(AX25,$A$3:$A$45,1)+1))</f>
        <v>#N/A</v>
      </c>
      <c r="AZ25" s="99" t="e">
        <f t="shared" ref="AZ25:AZ29" si="92">IF(AND(AY25&lt;=750,AY25&gt;250),6,IF(AND(AY25&lt;=250,AY25&gt;120),4,IF(AND(AY25&lt;=120,AY25&gt;75),3,IF(AND(AY25&lt;=75,AY25&gt;40),2.5,IF(AND(AY25&lt;=40,AY25&gt;20),2,IF(AND(AY25&lt;=20,AY25&gt;14),1.5,IF(AND(AY25&lt;=14,AY25&gt;7),1.25,IF(AND(AY25&lt;=7,AY25&gt;3.5),1,IF(AND(AY25&lt;=3.5,AY25&gt;1.7),0.75,IF(AND(AY25&lt;=1.7,AY25&gt;0),0.5))))))))))</f>
        <v>#N/A</v>
      </c>
      <c r="BA25" s="75">
        <f>SUM('FU Distribution'!AZ87:$AZ$109)+IF('FU Distribution'!$D$112=9,'FU Distribution'!$D$114,0)</f>
        <v>0</v>
      </c>
      <c r="BB25" s="76" t="e">
        <f>FORECAST((SUM(BA25:BA1020)),INDEX($B$3:$B$45,MATCH((SUM(BA25:BA1020)),$A$3:$A$45,1)):INDEX($B$3:$B$45,MATCH((SUM(BA25:BA1020)),$A$3:$A$45,1)+1),INDEX($A$3:$A$45,MATCH((SUM(BA25:BA1020)),$A$3:$A$45,1)):INDEX($A$3:$A$45,MATCH((SUM(BA25:BA1020)),$A$3:$A$45,1)+1))</f>
        <v>#N/A</v>
      </c>
      <c r="BC25" s="77" t="e">
        <f t="shared" si="3"/>
        <v>#N/A</v>
      </c>
      <c r="BD25" s="75">
        <f>SUM('FU Distribution'!BA87:$BA$109)</f>
        <v>0</v>
      </c>
      <c r="BE25" s="76" t="e">
        <f>FORECAST((SUM(BD25:BD1020)),INDEX($B$3:$B$45,MATCH((SUM(BD25:BD1020)),$A$3:$A$45,1)):INDEX($B$3:$B$45,MATCH((SUM(BD25:BD1020)),$A$3:$A$45,1)+1),INDEX($A$3:$A$45,MATCH((SUM(BD25:BD1020)),$A$3:$A$45,1)):INDEX($A$3:$A$45,MATCH((SUM(BD25:BD1020)),$A$3:$A$45,1)+1))</f>
        <v>#N/A</v>
      </c>
      <c r="BF25" s="77" t="e">
        <f t="shared" si="4"/>
        <v>#N/A</v>
      </c>
      <c r="BG25" s="61">
        <f>SUM('FU Distribution'!BC87:$BC$109)+IF('FU Distribution'!$D$112=10,'FU Distribution'!$D$114,0)</f>
        <v>0</v>
      </c>
      <c r="BH25" s="62" t="e">
        <f>FORECAST((SUM(BG25:BG1020)),INDEX($B$3:$B$45,MATCH((SUM(BG25:BG1020)),$A$3:$A$45,1)):INDEX($B$3:$B$45,MATCH((SUM(BG25:BG1020)),$A$3:$A$45,1)+1),INDEX($A$3:$A$45,MATCH((SUM(BG25:BG1020)),$A$3:$A$45,1)):INDEX($A$3:$A$45,MATCH((SUM(BG25:BG1020)),$A$3:$A$45,1)+1))</f>
        <v>#N/A</v>
      </c>
      <c r="BI25" s="74" t="e">
        <f t="shared" si="5"/>
        <v>#N/A</v>
      </c>
      <c r="BJ25" s="61">
        <f>SUM('FU Distribution'!BD87:$BD$109)</f>
        <v>0</v>
      </c>
      <c r="BK25" s="62" t="e">
        <f>FORECAST((SUM(BJ25:BJ1020)),INDEX($B$3:$B$45,MATCH((SUM(BJ25:BJ1020)),$A$3:$A$45,1)):INDEX($B$3:$B$45,MATCH((SUM(BJ25:BJ1020)),$A$3:$A$45,1)+1),INDEX($A$3:$A$45,MATCH((SUM(BJ25:BJ1020)),$A$3:$A$45,1)):INDEX($A$3:$A$45,MATCH((SUM(BJ25:BJ1020)),$A$3:$A$45,1)+1))</f>
        <v>#N/A</v>
      </c>
      <c r="BL25" s="74" t="e">
        <f t="shared" si="6"/>
        <v>#N/A</v>
      </c>
      <c r="BM25" s="75">
        <f>SUM('FU Distribution'!BF87:$BF$109)+IF('FU Distribution'!$D$112=11,'FU Distribution'!$D$114,0)</f>
        <v>0</v>
      </c>
      <c r="BN25" s="76" t="e">
        <f>FORECAST((SUM(BM25:BM1020)),INDEX($B$3:$B$45,MATCH((SUM(BM25:BM1020)),$A$3:$A$45,1)):INDEX($B$3:$B$45,MATCH((SUM(BM25:BM1020)),$A$3:$A$45,1)+1),INDEX($A$3:$A$45,MATCH((SUM(BM25:BM1020)),$A$3:$A$45,1)):INDEX($A$3:$A$45,MATCH((SUM(BM25:BM1020)),$A$3:$A$45,1)+1))</f>
        <v>#N/A</v>
      </c>
      <c r="BO25" s="77" t="e">
        <f t="shared" si="7"/>
        <v>#N/A</v>
      </c>
      <c r="BP25" s="75">
        <f>SUM('FU Distribution'!BG87:$BG$109)</f>
        <v>0</v>
      </c>
      <c r="BQ25" s="76" t="e">
        <f>FORECAST((SUM(BP25:BP1020)),INDEX($B$3:$B$45,MATCH((SUM(BP25:BP1020)),$A$3:$A$45,1)):INDEX($B$3:$B$45,MATCH((SUM(BP25:BP1020)),$A$3:$A$45,1)+1),INDEX($A$3:$A$45,MATCH((SUM(BP25:BP1020)),$A$3:$A$45,1)):INDEX($A$3:$A$45,MATCH((SUM(BP25:BP1020)),$A$3:$A$45,1)+1))</f>
        <v>#N/A</v>
      </c>
      <c r="BR25" s="77" t="e">
        <f t="shared" si="8"/>
        <v>#N/A</v>
      </c>
      <c r="BS25" s="61">
        <f>SUM('FU Distribution'!BI87:$BI$109)+IF('FU Distribution'!$D$112=12,'FU Distribution'!$D$114,0)</f>
        <v>0</v>
      </c>
      <c r="BT25" s="62" t="e">
        <f>FORECAST(BS25,INDEX($B$3:$B$45,MATCH(BS25,$A$3:$A$45,1)):INDEX($B$3:$B$45,MATCH(BS25,$A$3:$A$45,1)+1),INDEX($A$3:$A$45,MATCH(BS25,$A$3:$A$45,1)):INDEX($A$3:$A$45,MATCH(BS25,$A$3:$A$45,1)+1))</f>
        <v>#N/A</v>
      </c>
      <c r="BU25" s="74" t="e">
        <f t="shared" si="9"/>
        <v>#N/A</v>
      </c>
      <c r="BV25" s="61">
        <f>SUM('FU Distribution'!BJ87:$BJ$109)</f>
        <v>0</v>
      </c>
      <c r="BW25" s="62" t="e">
        <f>FORECAST(BV25,INDEX($B$3:$B$45,MATCH(BV25,$A$3:$A$45,1)):INDEX($B$3:$B$45,MATCH(BV25,$A$3:$A$45,1)+1),INDEX($A$3:$A$45,MATCH(BV25,$A$3:$A$45,1)):INDEX($A$3:$A$45,MATCH(BV25,$A$3:$A$45,1)+1))</f>
        <v>#N/A</v>
      </c>
      <c r="BX25" s="74" t="e">
        <f t="shared" si="10"/>
        <v>#N/A</v>
      </c>
      <c r="BY25" s="75">
        <f>SUM('FU Distribution'!BL87:$BL$109)+IF('FU Distribution'!$D$112=13,'FU Distribution'!$D$114,0)</f>
        <v>0</v>
      </c>
      <c r="BZ25" s="76" t="e">
        <f>FORECAST(BY25,INDEX($B$3:$B$45,MATCH(BY25,$A$3:$A$45,1)):INDEX($B$3:$B$45,MATCH(BY25,$A$3:$A$45,1)+1),INDEX($A$3:$A$45,MATCH(BY25,$A$3:$A$45,1)):INDEX($A$3:$A$45,MATCH(BY25,$A$3:$A$45,1)+1))</f>
        <v>#N/A</v>
      </c>
      <c r="CA25" s="77" t="e">
        <f t="shared" si="11"/>
        <v>#N/A</v>
      </c>
      <c r="CB25" s="75">
        <f>SUM('FU Distribution'!BM87:$BM$109)</f>
        <v>0</v>
      </c>
      <c r="CC25" s="76" t="e">
        <f>FORECAST(CB25,INDEX($B$3:$B$45,MATCH(CB25,$A$3:$A$45,1)):INDEX($B$3:$B$45,MATCH(CB25,$A$3:$A$45,1)+1),INDEX($A$3:$A$45,MATCH(CB25,$A$3:$A$45,1)):INDEX($A$3:$A$45,MATCH(CB25,$A$3:$A$45,1)+1))</f>
        <v>#N/A</v>
      </c>
      <c r="CD25" s="77" t="e">
        <f t="shared" si="12"/>
        <v>#N/A</v>
      </c>
      <c r="CE25" s="61">
        <f>SUM('FU Distribution'!BO87:$BO$109)+IF('FU Distribution'!$D$112=13,'FU Distribution'!$D$114,0)</f>
        <v>0</v>
      </c>
      <c r="CF25" s="62" t="e">
        <f>FORECAST(CE25,INDEX($B$3:$B$45,MATCH(CE25,$A$3:$A$45,1)):INDEX($B$3:$B$45,MATCH(CE25,$A$3:$A$45,1)+1),INDEX($A$3:$A$45,MATCH(CE25,$A$3:$A$45,1)):INDEX($A$3:$A$45,MATCH(CE25,$A$3:$A$45,1)+1))</f>
        <v>#N/A</v>
      </c>
      <c r="CG25" s="74" t="e">
        <f t="shared" si="13"/>
        <v>#N/A</v>
      </c>
      <c r="CH25" s="61">
        <f>SUM('FU Distribution'!BP87:$BP$109)</f>
        <v>0</v>
      </c>
      <c r="CI25" s="62" t="e">
        <f>FORECAST(CH25,INDEX($B$3:$B$45,MATCH(CH25,$A$3:$A$45,1)):INDEX($B$3:$B$45,MATCH(CH25,$A$3:$A$45,1)+1),INDEX($A$3:$A$45,MATCH(CH25,$A$3:$A$45,1)):INDEX($A$3:$A$45,MATCH(CH25,$A$3:$A$45,1)+1))</f>
        <v>#N/A</v>
      </c>
      <c r="CJ25" s="74" t="e">
        <f t="shared" si="14"/>
        <v>#N/A</v>
      </c>
    </row>
    <row r="26" spans="1:88" x14ac:dyDescent="0.25">
      <c r="A26" s="2">
        <v>220</v>
      </c>
      <c r="B26" s="2">
        <v>70</v>
      </c>
      <c r="C26" s="63"/>
      <c r="D26" s="52">
        <v>22</v>
      </c>
      <c r="E26" s="61">
        <f>SUM('FU Distribution'!AB88:$AB$109)+IF('FU Distribution'!$D$112=1,'FU Distribution'!$D$114,0)</f>
        <v>0</v>
      </c>
      <c r="F26" s="96" t="e">
        <f>FORECAST((SUM(E26:E1021)),INDEX($B$3:$B$45,MATCH((SUM(E26:E1021)),$A$3:$A$45,1)):INDEX($B$3:$B$45,MATCH((SUM(E26:E1021)),$A$3:$A$45,1)+1),INDEX($A$3:$A$45,MATCH((SUM(E26:E1021)),$A$3:$A$45,1)):INDEX($A$3:$A$45,MATCH((SUM(E26:E1021)),$A$3:$A$45,1)+1))</f>
        <v>#N/A</v>
      </c>
      <c r="G26" s="97" t="e">
        <f t="shared" si="79"/>
        <v>#N/A</v>
      </c>
      <c r="H26" s="61">
        <f>SUM('FU Distribution'!AC88:$AC$109)</f>
        <v>0</v>
      </c>
      <c r="I26" s="96" t="e">
        <f>FORECAST((SUM(H26:H1021)),INDEX($B$3:$B$45,MATCH((SUM(H26:H1021)),$A$3:$A$45,1)):INDEX($B$3:$B$45,MATCH((SUM(H26:H1021)),$A$3:$A$45,1)+1),INDEX($A$3:$A$45,MATCH((SUM(H26:H1021)),$A$3:$A$45,1)):INDEX($A$3:$A$45,MATCH((SUM(H26:H1021)),$A$3:$A$45,1)+1))</f>
        <v>#N/A</v>
      </c>
      <c r="J26" s="97" t="e">
        <f t="shared" si="80"/>
        <v>#N/A</v>
      </c>
      <c r="K26" s="75">
        <f>SUM('FU Distribution'!AE88:$AE$109)+IF('FU Distribution'!$D$112=2,'FU Distribution'!$D$114,0)</f>
        <v>0</v>
      </c>
      <c r="L26" s="96" t="e">
        <f>FORECAST((SUM(K26:K1021)),INDEX($B$3:$B$45,MATCH((SUM(K26:K1021)),$A$3:$A$45,1)):INDEX($B$3:$B$45,MATCH((SUM(K26:K1021)),$A$3:$A$45,1)+1),INDEX($A$3:$A$45,MATCH((SUM(K26:K1021)),$A$3:$A$45,1)):INDEX($A$3:$A$45,MATCH((SUM(K26:K1021)),$A$3:$A$45,1)+1))</f>
        <v>#N/A</v>
      </c>
      <c r="M26" s="97" t="e">
        <f t="shared" si="81"/>
        <v>#N/A</v>
      </c>
      <c r="N26" s="75">
        <f>SUM('FU Distribution'!AF88:$AF$109)</f>
        <v>0</v>
      </c>
      <c r="O26" s="96" t="e">
        <f>FORECAST((SUM(N26:N1021)),INDEX($B$3:$B$45,MATCH((SUM(N26:N1021)),$A$3:$A$45,1)):INDEX($B$3:$B$45,MATCH((SUM(N26:N1021)),$A$3:$A$45,1)+1),INDEX($A$3:$A$45,MATCH((SUM(N26:N1021)),$A$3:$A$45,1)):INDEX($A$3:$A$45,MATCH((SUM(N26:N1021)),$A$3:$A$45,1)+1))</f>
        <v>#N/A</v>
      </c>
      <c r="P26" s="97" t="e">
        <f t="shared" si="82"/>
        <v>#N/A</v>
      </c>
      <c r="Q26" s="61">
        <f>SUM('FU Distribution'!AH88:$AH$109)+IF('FU Distribution'!$D$112=3,'FU Distribution'!$D$114,0)</f>
        <v>0</v>
      </c>
      <c r="R26" s="96" t="e">
        <f>FORECAST((SUM(Q26:Q1021)),INDEX($B$3:$B$45,MATCH((SUM(Q26:Q1021)),$A$3:$A$45,1)):INDEX($B$3:$B$45,MATCH((SUM(Q26:Q1021)),$A$3:$A$45,1)+1),INDEX($A$3:$A$45,MATCH((SUM(Q26:Q1021)),$A$3:$A$45,1)):INDEX($A$3:$A$45,MATCH((SUM(Q26:Q1021)),$A$3:$A$45,1)+1))</f>
        <v>#N/A</v>
      </c>
      <c r="S26" s="97" t="e">
        <f t="shared" si="83"/>
        <v>#N/A</v>
      </c>
      <c r="T26" s="61">
        <f>SUM('FU Distribution'!AI88:$AI$109)</f>
        <v>0</v>
      </c>
      <c r="U26" s="96" t="e">
        <f>FORECAST((SUM(T26:T1021)),INDEX($B$3:$B$45,MATCH((SUM(T26:T1021)),$A$3:$A$45,1)):INDEX($B$3:$B$45,MATCH((SUM(T26:T1021)),$A$3:$A$45,1)+1),INDEX($A$3:$A$45,MATCH((SUM(T26:T1021)),$A$3:$A$45,1)):INDEX($A$3:$A$45,MATCH((SUM(T26:T1021)),$A$3:$A$45,1)+1))</f>
        <v>#N/A</v>
      </c>
      <c r="V26" s="97" t="e">
        <f t="shared" si="0"/>
        <v>#N/A</v>
      </c>
      <c r="W26" s="75">
        <f>SUM('FU Distribution'!AK88:$AK$109)+IF('FU Distribution'!$D$112=4,'FU Distribution'!$D$114,0)</f>
        <v>0</v>
      </c>
      <c r="X26" s="96" t="e">
        <f>FORECAST((SUM(W26:W1021)),INDEX($B$3:$B$45,MATCH((SUM(W26:W1021)),$A$3:$A$45,1)):INDEX($B$3:$B$45,MATCH((SUM(W26:W1021)),$A$3:$A$45,1)+1),INDEX($A$3:$A$45,MATCH((SUM(W26:W1021)),$A$3:$A$45,1)):INDEX($A$3:$A$45,MATCH((SUM(W26:W1021)),$A$3:$A$45,1)+1))</f>
        <v>#N/A</v>
      </c>
      <c r="Y26" s="97" t="e">
        <f t="shared" si="1"/>
        <v>#N/A</v>
      </c>
      <c r="Z26" s="75">
        <f>SUM('FU Distribution'!AL88:$AL$109)</f>
        <v>0</v>
      </c>
      <c r="AA26" s="96" t="e">
        <f>FORECAST((SUM(Z26:Z1021)),INDEX($B$3:$B$45,MATCH((SUM(Z26:Z1021)),$A$3:$A$45,1)):INDEX($B$3:$B$45,MATCH((SUM(Z26:Z1021)),$A$3:$A$45,1)+1),INDEX($A$3:$A$45,MATCH((SUM(Z26:Z1021)),$A$3:$A$45,1)):INDEX($A$3:$A$45,MATCH((SUM(Z26:Z1021)),$A$3:$A$45,1)+1))</f>
        <v>#N/A</v>
      </c>
      <c r="AB26" s="97" t="e">
        <f t="shared" si="84"/>
        <v>#N/A</v>
      </c>
      <c r="AC26" s="61">
        <f>SUM('FU Distribution'!AN88:$AN$109)+IF('FU Distribution'!$D$112=5,'FU Distribution'!$D$114,0)</f>
        <v>0</v>
      </c>
      <c r="AD26" s="96" t="e">
        <f>FORECAST((SUM(AC26:AC1021)),INDEX($B$3:$B$45,MATCH((SUM(AC26:AC1021)),$A$3:$A$45,1)):INDEX($B$3:$B$45,MATCH((SUM(AC26:AC1021)),$A$3:$A$45,1)+1),INDEX($A$3:$A$45,MATCH((SUM(AC26:AC1021)),$A$3:$A$45,1)):INDEX($A$3:$A$45,MATCH((SUM(AC26:AC1021)),$A$3:$A$45,1)+1))</f>
        <v>#N/A</v>
      </c>
      <c r="AE26" s="97" t="e">
        <f t="shared" si="85"/>
        <v>#N/A</v>
      </c>
      <c r="AF26" s="61">
        <f>SUM('FU Distribution'!AO88:$AO$109)</f>
        <v>0</v>
      </c>
      <c r="AG26" s="96" t="e">
        <f>FORECAST((SUM(AF26:AF1021)),INDEX($B$3:$B$45,MATCH((SUM(AF26:AF1021)),$A$3:$A$45,1)):INDEX($B$3:$B$45,MATCH((SUM(AF26:AF1021)),$A$3:$A$45,1)+1),INDEX($A$3:$A$45,MATCH((SUM(AF26:AF1021)),$A$3:$A$45,1)):INDEX($A$3:$A$45,MATCH((SUM(AF26:AF1021)),$A$3:$A$45,1)+1))</f>
        <v>#N/A</v>
      </c>
      <c r="AH26" s="97" t="e">
        <f t="shared" si="86"/>
        <v>#N/A</v>
      </c>
      <c r="AI26" s="75">
        <f>SUM('FU Distribution'!AQ88:$AQ$109)+IF('FU Distribution'!$D$112=6,'FU Distribution'!$D$114,0)</f>
        <v>0</v>
      </c>
      <c r="AJ26" s="96" t="e">
        <f>FORECAST((SUM(AI26:AI1021)),INDEX($B$3:$B$45,MATCH((SUM(AI26:AI1021)),$A$3:$A$45,1)):INDEX($B$3:$B$45,MATCH((SUM(AI26:AI1021)),$A$3:$A$45,1)+1),INDEX($A$3:$A$45,MATCH((SUM(AI26:AI1021)),$A$3:$A$45,1)):INDEX($A$3:$A$45,MATCH((SUM(AI26:AI1021)),$A$3:$A$45,1)+1))</f>
        <v>#N/A</v>
      </c>
      <c r="AK26" s="97" t="e">
        <f t="shared" si="87"/>
        <v>#N/A</v>
      </c>
      <c r="AL26" s="75">
        <f>SUM('FU Distribution'!AR88:$AR$109)</f>
        <v>0</v>
      </c>
      <c r="AM26" s="96" t="e">
        <f>FORECAST((SUM(AL26:AL1021)),INDEX($B$3:$B$45,MATCH((SUM(AL26:AL1021)),$A$3:$A$45,1)):INDEX($B$3:$B$45,MATCH((SUM(AL26:AL1021)),$A$3:$A$45,1)+1),INDEX($A$3:$A$45,MATCH((SUM(AL26:AL1021)),$A$3:$A$45,1)):INDEX($A$3:$A$45,MATCH((SUM(AL26:AL1021)),$A$3:$A$45,1)+1))</f>
        <v>#N/A</v>
      </c>
      <c r="AN26" s="97" t="e">
        <f t="shared" si="88"/>
        <v>#N/A</v>
      </c>
      <c r="AO26" s="61">
        <f>SUM('FU Distribution'!AT88:$AT$109)+IF('FU Distribution'!$D$112=7,'FU Distribution'!$D$114,0)</f>
        <v>0</v>
      </c>
      <c r="AP26" s="96" t="e">
        <f>FORECAST((SUM(AO26:AO1021)),INDEX($B$3:$B$45,MATCH((SUM(AO26:AO1021)),$A$3:$A$45,1)):INDEX($B$3:$B$45,MATCH((SUM(AO26:AO1021)),$A$3:$A$45,1)+1),INDEX($A$3:$A$45,MATCH((SUM(AO26:AO1021)),$A$3:$A$45,1)):INDEX($A$3:$A$45,MATCH((SUM(AO26:AO1021)),$A$3:$A$45,1)+1))</f>
        <v>#N/A</v>
      </c>
      <c r="AQ26" s="97" t="e">
        <f t="shared" si="89"/>
        <v>#N/A</v>
      </c>
      <c r="AR26" s="61">
        <f>SUM('FU Distribution'!AU88:$AU$109)</f>
        <v>0</v>
      </c>
      <c r="AS26" s="96" t="e">
        <f>FORECAST((SUM(AR26:AR1021)),INDEX($B$3:$B$45,MATCH((SUM(AR26:AR1021)),$A$3:$A$45,1)):INDEX($B$3:$B$45,MATCH((SUM(AR26:AR1021)),$A$3:$A$45,1)+1),INDEX($A$3:$A$45,MATCH((SUM(AR26:AR1021)),$A$3:$A$45,1)):INDEX($A$3:$A$45,MATCH((SUM(AR26:AR1021)),$A$3:$A$45,1)+1))</f>
        <v>#N/A</v>
      </c>
      <c r="AT26" s="97" t="e">
        <f t="shared" si="90"/>
        <v>#N/A</v>
      </c>
      <c r="AU26" s="61">
        <f>SUM('FU Distribution'!AW88:$AW$109)+IF('FU Distribution'!$D$112=8,'FU Distribution'!$D$114,0)</f>
        <v>0</v>
      </c>
      <c r="AV26" s="98" t="e">
        <f>FORECAST(AU26,INDEX($B$3:$B$45,MATCH(AU26,$A$3:$A$45,1)):INDEX($B$3:$B$45,MATCH(AU26,$A$3:$A$45,1)+1),INDEX($A$3:$A$45,MATCH(AU26,$A$3:$A$45,1)):INDEX($A$3:$A$45,MATCH(AU26,$A$3:$A$45,1)+1))</f>
        <v>#N/A</v>
      </c>
      <c r="AW26" s="97" t="e">
        <f t="shared" si="91"/>
        <v>#N/A</v>
      </c>
      <c r="AX26" s="61">
        <f>SUM('FU Distribution'!AX88:$AX$109)</f>
        <v>0</v>
      </c>
      <c r="AY26" s="98" t="e">
        <f>FORECAST(AX26,INDEX($B$3:$B$45,MATCH(AX26,$A$3:$A$45,1)):INDEX($B$3:$B$45,MATCH(AX26,$A$3:$A$45,1)+1),INDEX($A$3:$A$45,MATCH(AX26,$A$3:$A$45,1)):INDEX($A$3:$A$45,MATCH(AX26,$A$3:$A$45,1)+1))</f>
        <v>#N/A</v>
      </c>
      <c r="AZ26" s="97" t="e">
        <f t="shared" si="92"/>
        <v>#N/A</v>
      </c>
      <c r="BA26" s="75">
        <f>SUM('FU Distribution'!AZ88:$AZ$109)+IF('FU Distribution'!$D$112=9,'FU Distribution'!$D$114,0)</f>
        <v>0</v>
      </c>
      <c r="BB26" s="76" t="e">
        <f>FORECAST((SUM(BA26:BA1021)),INDEX($B$3:$B$45,MATCH((SUM(BA26:BA1021)),$A$3:$A$45,1)):INDEX($B$3:$B$45,MATCH((SUM(BA26:BA1021)),$A$3:$A$45,1)+1),INDEX($A$3:$A$45,MATCH((SUM(BA26:BA1021)),$A$3:$A$45,1)):INDEX($A$3:$A$45,MATCH((SUM(BA26:BA1021)),$A$3:$A$45,1)+1))</f>
        <v>#N/A</v>
      </c>
      <c r="BC26" s="77" t="e">
        <f t="shared" si="3"/>
        <v>#N/A</v>
      </c>
      <c r="BD26" s="75">
        <f>SUM('FU Distribution'!BA88:$BA$109)</f>
        <v>0</v>
      </c>
      <c r="BE26" s="76" t="e">
        <f>FORECAST((SUM(BD26:BD1021)),INDEX($B$3:$B$45,MATCH((SUM(BD26:BD1021)),$A$3:$A$45,1)):INDEX($B$3:$B$45,MATCH((SUM(BD26:BD1021)),$A$3:$A$45,1)+1),INDEX($A$3:$A$45,MATCH((SUM(BD26:BD1021)),$A$3:$A$45,1)):INDEX($A$3:$A$45,MATCH((SUM(BD26:BD1021)),$A$3:$A$45,1)+1))</f>
        <v>#N/A</v>
      </c>
      <c r="BF26" s="77" t="e">
        <f t="shared" si="4"/>
        <v>#N/A</v>
      </c>
      <c r="BG26" s="61">
        <f>SUM('FU Distribution'!BC88:$BC$109)+IF('FU Distribution'!$D$112=10,'FU Distribution'!$D$114,0)</f>
        <v>0</v>
      </c>
      <c r="BH26" s="62" t="e">
        <f>FORECAST((SUM(BG26:BG1021)),INDEX($B$3:$B$45,MATCH((SUM(BG26:BG1021)),$A$3:$A$45,1)):INDEX($B$3:$B$45,MATCH((SUM(BG26:BG1021)),$A$3:$A$45,1)+1),INDEX($A$3:$A$45,MATCH((SUM(BG26:BG1021)),$A$3:$A$45,1)):INDEX($A$3:$A$45,MATCH((SUM(BG26:BG1021)),$A$3:$A$45,1)+1))</f>
        <v>#N/A</v>
      </c>
      <c r="BI26" s="74" t="e">
        <f t="shared" si="5"/>
        <v>#N/A</v>
      </c>
      <c r="BJ26" s="61">
        <f>SUM('FU Distribution'!BD88:$BD$109)</f>
        <v>0</v>
      </c>
      <c r="BK26" s="62" t="e">
        <f>FORECAST((SUM(BJ26:BJ1021)),INDEX($B$3:$B$45,MATCH((SUM(BJ26:BJ1021)),$A$3:$A$45,1)):INDEX($B$3:$B$45,MATCH((SUM(BJ26:BJ1021)),$A$3:$A$45,1)+1),INDEX($A$3:$A$45,MATCH((SUM(BJ26:BJ1021)),$A$3:$A$45,1)):INDEX($A$3:$A$45,MATCH((SUM(BJ26:BJ1021)),$A$3:$A$45,1)+1))</f>
        <v>#N/A</v>
      </c>
      <c r="BL26" s="74" t="e">
        <f t="shared" si="6"/>
        <v>#N/A</v>
      </c>
      <c r="BM26" s="75">
        <f>SUM('FU Distribution'!BF88:$BF$109)+IF('FU Distribution'!$D$112=11,'FU Distribution'!$D$114,0)</f>
        <v>0</v>
      </c>
      <c r="BN26" s="76" t="e">
        <f>FORECAST((SUM(BM26:BM1021)),INDEX($B$3:$B$45,MATCH((SUM(BM26:BM1021)),$A$3:$A$45,1)):INDEX($B$3:$B$45,MATCH((SUM(BM26:BM1021)),$A$3:$A$45,1)+1),INDEX($A$3:$A$45,MATCH((SUM(BM26:BM1021)),$A$3:$A$45,1)):INDEX($A$3:$A$45,MATCH((SUM(BM26:BM1021)),$A$3:$A$45,1)+1))</f>
        <v>#N/A</v>
      </c>
      <c r="BO26" s="77" t="e">
        <f t="shared" si="7"/>
        <v>#N/A</v>
      </c>
      <c r="BP26" s="75">
        <f>SUM('FU Distribution'!BG88:$BG$109)</f>
        <v>0</v>
      </c>
      <c r="BQ26" s="76" t="e">
        <f>FORECAST((SUM(BP26:BP1021)),INDEX($B$3:$B$45,MATCH((SUM(BP26:BP1021)),$A$3:$A$45,1)):INDEX($B$3:$B$45,MATCH((SUM(BP26:BP1021)),$A$3:$A$45,1)+1),INDEX($A$3:$A$45,MATCH((SUM(BP26:BP1021)),$A$3:$A$45,1)):INDEX($A$3:$A$45,MATCH((SUM(BP26:BP1021)),$A$3:$A$45,1)+1))</f>
        <v>#N/A</v>
      </c>
      <c r="BR26" s="77" t="e">
        <f t="shared" si="8"/>
        <v>#N/A</v>
      </c>
      <c r="BS26" s="61">
        <f>SUM('FU Distribution'!BI88:$BI$109)+IF('FU Distribution'!$D$112=12,'FU Distribution'!$D$114,0)</f>
        <v>0</v>
      </c>
      <c r="BT26" s="62" t="e">
        <f>FORECAST(BS26,INDEX($B$3:$B$45,MATCH(BS26,$A$3:$A$45,1)):INDEX($B$3:$B$45,MATCH(BS26,$A$3:$A$45,1)+1),INDEX($A$3:$A$45,MATCH(BS26,$A$3:$A$45,1)):INDEX($A$3:$A$45,MATCH(BS26,$A$3:$A$45,1)+1))</f>
        <v>#N/A</v>
      </c>
      <c r="BU26" s="74" t="e">
        <f t="shared" si="9"/>
        <v>#N/A</v>
      </c>
      <c r="BV26" s="61">
        <f>SUM('FU Distribution'!BJ88:$BJ$109)</f>
        <v>0</v>
      </c>
      <c r="BW26" s="62" t="e">
        <f>FORECAST(BV26,INDEX($B$3:$B$45,MATCH(BV26,$A$3:$A$45,1)):INDEX($B$3:$B$45,MATCH(BV26,$A$3:$A$45,1)+1),INDEX($A$3:$A$45,MATCH(BV26,$A$3:$A$45,1)):INDEX($A$3:$A$45,MATCH(BV26,$A$3:$A$45,1)+1))</f>
        <v>#N/A</v>
      </c>
      <c r="BX26" s="74" t="e">
        <f t="shared" si="10"/>
        <v>#N/A</v>
      </c>
      <c r="BY26" s="75">
        <f>SUM('FU Distribution'!BL88:$BL$109)+IF('FU Distribution'!$D$112=13,'FU Distribution'!$D$114,0)</f>
        <v>0</v>
      </c>
      <c r="BZ26" s="76" t="e">
        <f>FORECAST(BY26,INDEX($B$3:$B$45,MATCH(BY26,$A$3:$A$45,1)):INDEX($B$3:$B$45,MATCH(BY26,$A$3:$A$45,1)+1),INDEX($A$3:$A$45,MATCH(BY26,$A$3:$A$45,1)):INDEX($A$3:$A$45,MATCH(BY26,$A$3:$A$45,1)+1))</f>
        <v>#N/A</v>
      </c>
      <c r="CA26" s="77" t="e">
        <f t="shared" si="11"/>
        <v>#N/A</v>
      </c>
      <c r="CB26" s="75">
        <f>SUM('FU Distribution'!BM88:$BM$109)</f>
        <v>0</v>
      </c>
      <c r="CC26" s="76" t="e">
        <f>FORECAST(CB26,INDEX($B$3:$B$45,MATCH(CB26,$A$3:$A$45,1)):INDEX($B$3:$B$45,MATCH(CB26,$A$3:$A$45,1)+1),INDEX($A$3:$A$45,MATCH(CB26,$A$3:$A$45,1)):INDEX($A$3:$A$45,MATCH(CB26,$A$3:$A$45,1)+1))</f>
        <v>#N/A</v>
      </c>
      <c r="CD26" s="77" t="e">
        <f t="shared" si="12"/>
        <v>#N/A</v>
      </c>
      <c r="CE26" s="61">
        <f>SUM('FU Distribution'!BO88:$BO$109)+IF('FU Distribution'!$D$112=13,'FU Distribution'!$D$114,0)</f>
        <v>0</v>
      </c>
      <c r="CF26" s="62" t="e">
        <f>FORECAST(CE26,INDEX($B$3:$B$45,MATCH(CE26,$A$3:$A$45,1)):INDEX($B$3:$B$45,MATCH(CE26,$A$3:$A$45,1)+1),INDEX($A$3:$A$45,MATCH(CE26,$A$3:$A$45,1)):INDEX($A$3:$A$45,MATCH(CE26,$A$3:$A$45,1)+1))</f>
        <v>#N/A</v>
      </c>
      <c r="CG26" s="74" t="e">
        <f t="shared" si="13"/>
        <v>#N/A</v>
      </c>
      <c r="CH26" s="61">
        <f>SUM('FU Distribution'!BP88:$BP$109)</f>
        <v>0</v>
      </c>
      <c r="CI26" s="62" t="e">
        <f>FORECAST(CH26,INDEX($B$3:$B$45,MATCH(CH26,$A$3:$A$45,1)):INDEX($B$3:$B$45,MATCH(CH26,$A$3:$A$45,1)+1),INDEX($A$3:$A$45,MATCH(CH26,$A$3:$A$45,1)):INDEX($A$3:$A$45,MATCH(CH26,$A$3:$A$45,1)+1))</f>
        <v>#N/A</v>
      </c>
      <c r="CJ26" s="74" t="e">
        <f t="shared" si="14"/>
        <v>#N/A</v>
      </c>
    </row>
    <row r="27" spans="1:88" x14ac:dyDescent="0.25">
      <c r="A27" s="2">
        <v>230</v>
      </c>
      <c r="B27" s="2">
        <v>72</v>
      </c>
      <c r="C27" s="63"/>
      <c r="D27" s="52">
        <v>23</v>
      </c>
      <c r="E27" s="61">
        <f>SUM('FU Distribution'!AB89:$AB$109)+IF('FU Distribution'!$D$112=1,'FU Distribution'!$D$114,0)</f>
        <v>0</v>
      </c>
      <c r="F27" s="98" t="e">
        <f>FORECAST((SUM(E27:E1021)),INDEX($B$3:$B$45,MATCH((SUM(E27:E1021)),$A$3:$A$45,1)):INDEX($B$3:$B$45,MATCH((SUM(E27:E1021)),$A$3:$A$45,1)+1),INDEX($A$3:$A$45,MATCH((SUM(E27:E1021)),$A$3:$A$45,1)):INDEX($A$3:$A$45,MATCH((SUM(E27:E1021)),$A$3:$A$45,1)+1))</f>
        <v>#N/A</v>
      </c>
      <c r="G27" s="99" t="e">
        <f t="shared" si="79"/>
        <v>#N/A</v>
      </c>
      <c r="H27" s="61">
        <f>SUM('FU Distribution'!AC89:$AC$109)</f>
        <v>0</v>
      </c>
      <c r="I27" s="98" t="e">
        <f>FORECAST((SUM(H27:H1022)),INDEX($B$3:$B$45,MATCH((SUM(H27:H1022)),$A$3:$A$45,1)):INDEX($B$3:$B$45,MATCH((SUM(H27:H1022)),$A$3:$A$45,1)+1),INDEX($A$3:$A$45,MATCH((SUM(H27:H1022)),$A$3:$A$45,1)):INDEX($A$3:$A$45,MATCH((SUM(H27:H1022)),$A$3:$A$45,1)+1))</f>
        <v>#N/A</v>
      </c>
      <c r="J27" s="99" t="e">
        <f t="shared" si="80"/>
        <v>#N/A</v>
      </c>
      <c r="K27" s="75">
        <f>SUM('FU Distribution'!AE89:$AE$109)+IF('FU Distribution'!$D$112=2,'FU Distribution'!$D$114,0)</f>
        <v>0</v>
      </c>
      <c r="L27" s="100" t="e">
        <f>FORECAST((SUM(K27:K1022)),INDEX($B$3:$B$45,MATCH((SUM(K27:K1022)),$A$3:$A$45,1)):INDEX($B$3:$B$45,MATCH((SUM(K27:K1022)),$A$3:$A$45,1)+1),INDEX($A$3:$A$45,MATCH((SUM(K27:K1022)),$A$3:$A$45,1)):INDEX($A$3:$A$45,MATCH((SUM(K27:K1022)),$A$3:$A$45,1)+1))</f>
        <v>#N/A</v>
      </c>
      <c r="M27" s="101" t="e">
        <f t="shared" si="81"/>
        <v>#N/A</v>
      </c>
      <c r="N27" s="75">
        <f>SUM('FU Distribution'!AF89:$AF$109)</f>
        <v>0</v>
      </c>
      <c r="O27" s="100" t="e">
        <f>FORECAST((SUM(N27:N1022)),INDEX($B$3:$B$45,MATCH((SUM(N27:N1022)),$A$3:$A$45,1)):INDEX($B$3:$B$45,MATCH((SUM(N27:N1022)),$A$3:$A$45,1)+1),INDEX($A$3:$A$45,MATCH((SUM(N27:N1022)),$A$3:$A$45,1)):INDEX($A$3:$A$45,MATCH((SUM(N27:N1022)),$A$3:$A$45,1)+1))</f>
        <v>#N/A</v>
      </c>
      <c r="P27" s="101" t="e">
        <f t="shared" si="82"/>
        <v>#N/A</v>
      </c>
      <c r="Q27" s="61">
        <f>SUM('FU Distribution'!AH89:$AH$109)+IF('FU Distribution'!$D$112=3,'FU Distribution'!$D$114,0)</f>
        <v>0</v>
      </c>
      <c r="R27" s="98" t="e">
        <f>FORECAST((SUM(Q27:Q1022)),INDEX($B$3:$B$45,MATCH((SUM(Q27:Q1022)),$A$3:$A$45,1)):INDEX($B$3:$B$45,MATCH((SUM(Q27:Q1022)),$A$3:$A$45,1)+1),INDEX($A$3:$A$45,MATCH((SUM(Q27:Q1022)),$A$3:$A$45,1)):INDEX($A$3:$A$45,MATCH((SUM(Q27:Q1022)),$A$3:$A$45,1)+1))</f>
        <v>#N/A</v>
      </c>
      <c r="S27" s="99" t="e">
        <f t="shared" si="83"/>
        <v>#N/A</v>
      </c>
      <c r="T27" s="61">
        <f>SUM('FU Distribution'!AI89:$AI$109)</f>
        <v>0</v>
      </c>
      <c r="U27" s="98" t="e">
        <f>FORECAST((SUM(T27:T1022)),INDEX($B$3:$B$45,MATCH((SUM(T27:T1022)),$A$3:$A$45,1)):INDEX($B$3:$B$45,MATCH((SUM(T27:T1022)),$A$3:$A$45,1)+1),INDEX($A$3:$A$45,MATCH((SUM(T27:T1022)),$A$3:$A$45,1)):INDEX($A$3:$A$45,MATCH((SUM(T27:T1022)),$A$3:$A$45,1)+1))</f>
        <v>#N/A</v>
      </c>
      <c r="V27" s="99" t="e">
        <f t="shared" si="0"/>
        <v>#N/A</v>
      </c>
      <c r="W27" s="75">
        <f>SUM('FU Distribution'!AK89:$AK$109)+IF('FU Distribution'!$D$112=4,'FU Distribution'!$D$114,0)</f>
        <v>0</v>
      </c>
      <c r="X27" s="100" t="e">
        <f>FORECAST((SUM(W27:W1022)),INDEX($B$3:$B$45,MATCH((SUM(W27:W1022)),$A$3:$A$45,1)):INDEX($B$3:$B$45,MATCH((SUM(W27:W1022)),$A$3:$A$45,1)+1),INDEX($A$3:$A$45,MATCH((SUM(W27:W1022)),$A$3:$A$45,1)):INDEX($A$3:$A$45,MATCH((SUM(W27:W1022)),$A$3:$A$45,1)+1))</f>
        <v>#N/A</v>
      </c>
      <c r="Y27" s="101" t="e">
        <f t="shared" si="1"/>
        <v>#N/A</v>
      </c>
      <c r="Z27" s="75">
        <f>SUM('FU Distribution'!AL89:$AL$109)</f>
        <v>0</v>
      </c>
      <c r="AA27" s="100" t="e">
        <f>FORECAST((SUM(Z27:Z1022)),INDEX($B$3:$B$45,MATCH((SUM(Z27:Z1022)),$A$3:$A$45,1)):INDEX($B$3:$B$45,MATCH((SUM(Z27:Z1022)),$A$3:$A$45,1)+1),INDEX($A$3:$A$45,MATCH((SUM(Z27:Z1022)),$A$3:$A$45,1)):INDEX($A$3:$A$45,MATCH((SUM(Z27:Z1022)),$A$3:$A$45,1)+1))</f>
        <v>#N/A</v>
      </c>
      <c r="AB27" s="101" t="e">
        <f t="shared" si="84"/>
        <v>#N/A</v>
      </c>
      <c r="AC27" s="61">
        <f>SUM('FU Distribution'!AN89:$AN$109)+IF('FU Distribution'!$D$112=5,'FU Distribution'!$D$114,0)</f>
        <v>0</v>
      </c>
      <c r="AD27" s="98" t="e">
        <f>FORECAST((SUM(AC27:AC1022)),INDEX($B$3:$B$45,MATCH((SUM(AC27:AC1022)),$A$3:$A$45,1)):INDEX($B$3:$B$45,MATCH((SUM(AC27:AC1022)),$A$3:$A$45,1)+1),INDEX($A$3:$A$45,MATCH((SUM(AC27:AC1022)),$A$3:$A$45,1)):INDEX($A$3:$A$45,MATCH((SUM(AC27:AC1022)),$A$3:$A$45,1)+1))</f>
        <v>#N/A</v>
      </c>
      <c r="AE27" s="99" t="e">
        <f t="shared" si="85"/>
        <v>#N/A</v>
      </c>
      <c r="AF27" s="61">
        <f>SUM('FU Distribution'!AO89:$AO$109)</f>
        <v>0</v>
      </c>
      <c r="AG27" s="98" t="e">
        <f>FORECAST((SUM(AF27:AF1022)),INDEX($B$3:$B$45,MATCH((SUM(AF27:AF1022)),$A$3:$A$45,1)):INDEX($B$3:$B$45,MATCH((SUM(AF27:AF1022)),$A$3:$A$45,1)+1),INDEX($A$3:$A$45,MATCH((SUM(AF27:AF1022)),$A$3:$A$45,1)):INDEX($A$3:$A$45,MATCH((SUM(AF27:AF1022)),$A$3:$A$45,1)+1))</f>
        <v>#N/A</v>
      </c>
      <c r="AH27" s="99" t="e">
        <f t="shared" si="86"/>
        <v>#N/A</v>
      </c>
      <c r="AI27" s="75">
        <f>SUM('FU Distribution'!AQ89:$AQ$109)+IF('FU Distribution'!$D$112=6,'FU Distribution'!$D$114,0)</f>
        <v>0</v>
      </c>
      <c r="AJ27" s="100" t="e">
        <f>FORECAST((SUM(AI27:AI1022)),INDEX($B$3:$B$45,MATCH((SUM(AI27:AI1022)),$A$3:$A$45,1)):INDEX($B$3:$B$45,MATCH((SUM(AI27:AI1022)),$A$3:$A$45,1)+1),INDEX($A$3:$A$45,MATCH((SUM(AI27:AI1022)),$A$3:$A$45,1)):INDEX($A$3:$A$45,MATCH((SUM(AI27:AI1022)),$A$3:$A$45,1)+1))</f>
        <v>#N/A</v>
      </c>
      <c r="AK27" s="101" t="e">
        <f t="shared" si="87"/>
        <v>#N/A</v>
      </c>
      <c r="AL27" s="75">
        <f>SUM('FU Distribution'!AR89:$AR$109)</f>
        <v>0</v>
      </c>
      <c r="AM27" s="100" t="e">
        <f>FORECAST((SUM(AL27:AL1022)),INDEX($B$3:$B$45,MATCH((SUM(AL27:AL1022)),$A$3:$A$45,1)):INDEX($B$3:$B$45,MATCH((SUM(AL27:AL1022)),$A$3:$A$45,1)+1),INDEX($A$3:$A$45,MATCH((SUM(AL27:AL1022)),$A$3:$A$45,1)):INDEX($A$3:$A$45,MATCH((SUM(AL27:AL1022)),$A$3:$A$45,1)+1))</f>
        <v>#N/A</v>
      </c>
      <c r="AN27" s="101" t="e">
        <f t="shared" si="88"/>
        <v>#N/A</v>
      </c>
      <c r="AO27" s="61">
        <f>SUM('FU Distribution'!AT89:$AT$109)+IF('FU Distribution'!$D$112=7,'FU Distribution'!$D$114,0)</f>
        <v>0</v>
      </c>
      <c r="AP27" s="98" t="e">
        <f>FORECAST((SUM(AO27:AO1022)),INDEX($B$3:$B$45,MATCH((SUM(AO27:AO1022)),$A$3:$A$45,1)):INDEX($B$3:$B$45,MATCH((SUM(AO27:AO1022)),$A$3:$A$45,1)+1),INDEX($A$3:$A$45,MATCH((SUM(AO27:AO1022)),$A$3:$A$45,1)):INDEX($A$3:$A$45,MATCH((SUM(AO27:AO1022)),$A$3:$A$45,1)+1))</f>
        <v>#N/A</v>
      </c>
      <c r="AQ27" s="99" t="e">
        <f t="shared" si="89"/>
        <v>#N/A</v>
      </c>
      <c r="AR27" s="61">
        <f>SUM('FU Distribution'!AU89:$AU$109)</f>
        <v>0</v>
      </c>
      <c r="AS27" s="98" t="e">
        <f>FORECAST((SUM(AR27:AR1022)),INDEX($B$3:$B$45,MATCH((SUM(AR27:AR1022)),$A$3:$A$45,1)):INDEX($B$3:$B$45,MATCH((SUM(AR27:AR1022)),$A$3:$A$45,1)+1),INDEX($A$3:$A$45,MATCH((SUM(AR27:AR1022)),$A$3:$A$45,1)):INDEX($A$3:$A$45,MATCH((SUM(AR27:AR1022)),$A$3:$A$45,1)+1))</f>
        <v>#N/A</v>
      </c>
      <c r="AT27" s="99" t="e">
        <f t="shared" si="90"/>
        <v>#N/A</v>
      </c>
      <c r="AU27" s="61">
        <f>SUM('FU Distribution'!AW89:$AW$109)+IF('FU Distribution'!$D$112=8,'FU Distribution'!$D$114,0)</f>
        <v>0</v>
      </c>
      <c r="AV27" s="98" t="e">
        <f>FORECAST(AU27,INDEX($B$3:$B$45,MATCH(AU27,$A$3:$A$45,1)):INDEX($B$3:$B$45,MATCH(AU27,$A$3:$A$45,1)+1),INDEX($A$3:$A$45,MATCH(AU27,$A$3:$A$45,1)):INDEX($A$3:$A$45,MATCH(AU27,$A$3:$A$45,1)+1))</f>
        <v>#N/A</v>
      </c>
      <c r="AW27" s="99" t="e">
        <f t="shared" si="91"/>
        <v>#N/A</v>
      </c>
      <c r="AX27" s="61">
        <f>SUM('FU Distribution'!AX89:$AX$109)</f>
        <v>0</v>
      </c>
      <c r="AY27" s="98" t="e">
        <f>FORECAST(AX27,INDEX($B$3:$B$45,MATCH(AX27,$A$3:$A$45,1)):INDEX($B$3:$B$45,MATCH(AX27,$A$3:$A$45,1)+1),INDEX($A$3:$A$45,MATCH(AX27,$A$3:$A$45,1)):INDEX($A$3:$A$45,MATCH(AX27,$A$3:$A$45,1)+1))</f>
        <v>#N/A</v>
      </c>
      <c r="AZ27" s="99" t="e">
        <f t="shared" si="92"/>
        <v>#N/A</v>
      </c>
      <c r="BA27" s="75">
        <f>SUM('FU Distribution'!AZ89:$AZ$109)+IF('FU Distribution'!$D$112=9,'FU Distribution'!$D$114,0)</f>
        <v>0</v>
      </c>
      <c r="BB27" s="76" t="e">
        <f>FORECAST((SUM(BA27:BA1022)),INDEX($B$3:$B$45,MATCH((SUM(BA27:BA1022)),$A$3:$A$45,1)):INDEX($B$3:$B$45,MATCH((SUM(BA27:BA1022)),$A$3:$A$45,1)+1),INDEX($A$3:$A$45,MATCH((SUM(BA27:BA1022)),$A$3:$A$45,1)):INDEX($A$3:$A$45,MATCH((SUM(BA27:BA1022)),$A$3:$A$45,1)+1))</f>
        <v>#N/A</v>
      </c>
      <c r="BC27" s="77" t="e">
        <f t="shared" si="3"/>
        <v>#N/A</v>
      </c>
      <c r="BD27" s="75">
        <f>SUM('FU Distribution'!BA89:$BA$109)</f>
        <v>0</v>
      </c>
      <c r="BE27" s="76" t="e">
        <f>FORECAST((SUM(BD27:BD1022)),INDEX($B$3:$B$45,MATCH((SUM(BD27:BD1022)),$A$3:$A$45,1)):INDEX($B$3:$B$45,MATCH((SUM(BD27:BD1022)),$A$3:$A$45,1)+1),INDEX($A$3:$A$45,MATCH((SUM(BD27:BD1022)),$A$3:$A$45,1)):INDEX($A$3:$A$45,MATCH((SUM(BD27:BD1022)),$A$3:$A$45,1)+1))</f>
        <v>#N/A</v>
      </c>
      <c r="BF27" s="77" t="e">
        <f t="shared" si="4"/>
        <v>#N/A</v>
      </c>
      <c r="BG27" s="61">
        <f>SUM('FU Distribution'!BC89:$BC$109)+IF('FU Distribution'!$D$112=10,'FU Distribution'!$D$114,0)</f>
        <v>0</v>
      </c>
      <c r="BH27" s="62" t="e">
        <f>FORECAST((SUM(BG27:BG1022)),INDEX($B$3:$B$45,MATCH((SUM(BG27:BG1022)),$A$3:$A$45,1)):INDEX($B$3:$B$45,MATCH((SUM(BG27:BG1022)),$A$3:$A$45,1)+1),INDEX($A$3:$A$45,MATCH((SUM(BG27:BG1022)),$A$3:$A$45,1)):INDEX($A$3:$A$45,MATCH((SUM(BG27:BG1022)),$A$3:$A$45,1)+1))</f>
        <v>#N/A</v>
      </c>
      <c r="BI27" s="74" t="e">
        <f t="shared" si="5"/>
        <v>#N/A</v>
      </c>
      <c r="BJ27" s="61">
        <f>SUM('FU Distribution'!BD89:$BD$109)</f>
        <v>0</v>
      </c>
      <c r="BK27" s="62" t="e">
        <f>FORECAST((SUM(BJ27:BJ1022)),INDEX($B$3:$B$45,MATCH((SUM(BJ27:BJ1022)),$A$3:$A$45,1)):INDEX($B$3:$B$45,MATCH((SUM(BJ27:BJ1022)),$A$3:$A$45,1)+1),INDEX($A$3:$A$45,MATCH((SUM(BJ27:BJ1022)),$A$3:$A$45,1)):INDEX($A$3:$A$45,MATCH((SUM(BJ27:BJ1022)),$A$3:$A$45,1)+1))</f>
        <v>#N/A</v>
      </c>
      <c r="BL27" s="74" t="e">
        <f t="shared" si="6"/>
        <v>#N/A</v>
      </c>
      <c r="BM27" s="75">
        <f>SUM('FU Distribution'!BF89:$BF$109)+IF('FU Distribution'!$D$112=11,'FU Distribution'!$D$114,0)</f>
        <v>0</v>
      </c>
      <c r="BN27" s="76" t="e">
        <f>FORECAST((SUM(BM27:BM1022)),INDEX($B$3:$B$45,MATCH((SUM(BM27:BM1022)),$A$3:$A$45,1)):INDEX($B$3:$B$45,MATCH((SUM(BM27:BM1022)),$A$3:$A$45,1)+1),INDEX($A$3:$A$45,MATCH((SUM(BM27:BM1022)),$A$3:$A$45,1)):INDEX($A$3:$A$45,MATCH((SUM(BM27:BM1022)),$A$3:$A$45,1)+1))</f>
        <v>#N/A</v>
      </c>
      <c r="BO27" s="77" t="e">
        <f t="shared" si="7"/>
        <v>#N/A</v>
      </c>
      <c r="BP27" s="75">
        <f>SUM('FU Distribution'!BG89:$BG$109)</f>
        <v>0</v>
      </c>
      <c r="BQ27" s="76" t="e">
        <f>FORECAST((SUM(BP27:BP1022)),INDEX($B$3:$B$45,MATCH((SUM(BP27:BP1022)),$A$3:$A$45,1)):INDEX($B$3:$B$45,MATCH((SUM(BP27:BP1022)),$A$3:$A$45,1)+1),INDEX($A$3:$A$45,MATCH((SUM(BP27:BP1022)),$A$3:$A$45,1)):INDEX($A$3:$A$45,MATCH((SUM(BP27:BP1022)),$A$3:$A$45,1)+1))</f>
        <v>#N/A</v>
      </c>
      <c r="BR27" s="77" t="e">
        <f t="shared" si="8"/>
        <v>#N/A</v>
      </c>
      <c r="BS27" s="61">
        <f>SUM('FU Distribution'!BI89:$BI$109)+IF('FU Distribution'!$D$112=12,'FU Distribution'!$D$114,0)</f>
        <v>0</v>
      </c>
      <c r="BT27" s="62" t="e">
        <f>FORECAST(BS27,INDEX($B$3:$B$45,MATCH(BS27,$A$3:$A$45,1)):INDEX($B$3:$B$45,MATCH(BS27,$A$3:$A$45,1)+1),INDEX($A$3:$A$45,MATCH(BS27,$A$3:$A$45,1)):INDEX($A$3:$A$45,MATCH(BS27,$A$3:$A$45,1)+1))</f>
        <v>#N/A</v>
      </c>
      <c r="BU27" s="74" t="e">
        <f t="shared" si="9"/>
        <v>#N/A</v>
      </c>
      <c r="BV27" s="61">
        <f>SUM('FU Distribution'!BJ89:$BJ$109)</f>
        <v>0</v>
      </c>
      <c r="BW27" s="62" t="e">
        <f>FORECAST(BV27,INDEX($B$3:$B$45,MATCH(BV27,$A$3:$A$45,1)):INDEX($B$3:$B$45,MATCH(BV27,$A$3:$A$45,1)+1),INDEX($A$3:$A$45,MATCH(BV27,$A$3:$A$45,1)):INDEX($A$3:$A$45,MATCH(BV27,$A$3:$A$45,1)+1))</f>
        <v>#N/A</v>
      </c>
      <c r="BX27" s="74" t="e">
        <f t="shared" si="10"/>
        <v>#N/A</v>
      </c>
      <c r="BY27" s="75">
        <f>SUM('FU Distribution'!BL89:$BL$109)+IF('FU Distribution'!$D$112=13,'FU Distribution'!$D$114,0)</f>
        <v>0</v>
      </c>
      <c r="BZ27" s="76" t="e">
        <f>FORECAST(BY27,INDEX($B$3:$B$45,MATCH(BY27,$A$3:$A$45,1)):INDEX($B$3:$B$45,MATCH(BY27,$A$3:$A$45,1)+1),INDEX($A$3:$A$45,MATCH(BY27,$A$3:$A$45,1)):INDEX($A$3:$A$45,MATCH(BY27,$A$3:$A$45,1)+1))</f>
        <v>#N/A</v>
      </c>
      <c r="CA27" s="77" t="e">
        <f t="shared" si="11"/>
        <v>#N/A</v>
      </c>
      <c r="CB27" s="75">
        <f>SUM('FU Distribution'!BM89:$BM$109)</f>
        <v>0</v>
      </c>
      <c r="CC27" s="76" t="e">
        <f>FORECAST(CB27,INDEX($B$3:$B$45,MATCH(CB27,$A$3:$A$45,1)):INDEX($B$3:$B$45,MATCH(CB27,$A$3:$A$45,1)+1),INDEX($A$3:$A$45,MATCH(CB27,$A$3:$A$45,1)):INDEX($A$3:$A$45,MATCH(CB27,$A$3:$A$45,1)+1))</f>
        <v>#N/A</v>
      </c>
      <c r="CD27" s="77" t="e">
        <f t="shared" si="12"/>
        <v>#N/A</v>
      </c>
      <c r="CE27" s="61">
        <f>SUM('FU Distribution'!BO89:$BO$109)+IF('FU Distribution'!$D$112=13,'FU Distribution'!$D$114,0)</f>
        <v>0</v>
      </c>
      <c r="CF27" s="62" t="e">
        <f>FORECAST(CE27,INDEX($B$3:$B$45,MATCH(CE27,$A$3:$A$45,1)):INDEX($B$3:$B$45,MATCH(CE27,$A$3:$A$45,1)+1),INDEX($A$3:$A$45,MATCH(CE27,$A$3:$A$45,1)):INDEX($A$3:$A$45,MATCH(CE27,$A$3:$A$45,1)+1))</f>
        <v>#N/A</v>
      </c>
      <c r="CG27" s="74" t="e">
        <f t="shared" si="13"/>
        <v>#N/A</v>
      </c>
      <c r="CH27" s="61">
        <f>SUM('FU Distribution'!BP89:$BP$109)</f>
        <v>0</v>
      </c>
      <c r="CI27" s="62" t="e">
        <f>FORECAST(CH27,INDEX($B$3:$B$45,MATCH(CH27,$A$3:$A$45,1)):INDEX($B$3:$B$45,MATCH(CH27,$A$3:$A$45,1)+1),INDEX($A$3:$A$45,MATCH(CH27,$A$3:$A$45,1)):INDEX($A$3:$A$45,MATCH(CH27,$A$3:$A$45,1)+1))</f>
        <v>#N/A</v>
      </c>
      <c r="CJ27" s="74" t="e">
        <f t="shared" si="14"/>
        <v>#N/A</v>
      </c>
    </row>
    <row r="28" spans="1:88" x14ac:dyDescent="0.25">
      <c r="A28" s="2">
        <v>240</v>
      </c>
      <c r="B28" s="2">
        <v>75</v>
      </c>
      <c r="C28" s="63"/>
      <c r="D28" s="52">
        <v>24</v>
      </c>
      <c r="E28" s="61">
        <f>SUM('FU Distribution'!AB90:$AB$109)+IF('FU Distribution'!$D$112=1,'FU Distribution'!$D$114,0)</f>
        <v>0</v>
      </c>
      <c r="F28" s="96" t="e">
        <f>FORECAST((SUM(E28:E1023)),INDEX($B$3:$B$45,MATCH((SUM(E28:E1023)),$A$3:$A$45,1)):INDEX($B$3:$B$45,MATCH((SUM(E28:E1023)),$A$3:$A$45,1)+1),INDEX($A$3:$A$45,MATCH((SUM(E28:E1023)),$A$3:$A$45,1)):INDEX($A$3:$A$45,MATCH((SUM(E28:E1023)),$A$3:$A$45,1)+1))</f>
        <v>#N/A</v>
      </c>
      <c r="G28" s="97" t="e">
        <f t="shared" si="79"/>
        <v>#N/A</v>
      </c>
      <c r="H28" s="61">
        <f>SUM('FU Distribution'!AC90:$AC$109)</f>
        <v>0</v>
      </c>
      <c r="I28" s="96" t="e">
        <f>FORECAST((SUM(H28:H1023)),INDEX($B$3:$B$45,MATCH((SUM(H28:H1023)),$A$3:$A$45,1)):INDEX($B$3:$B$45,MATCH((SUM(H28:H1023)),$A$3:$A$45,1)+1),INDEX($A$3:$A$45,MATCH((SUM(H28:H1023)),$A$3:$A$45,1)):INDEX($A$3:$A$45,MATCH((SUM(H28:H1023)),$A$3:$A$45,1)+1))</f>
        <v>#N/A</v>
      </c>
      <c r="J28" s="97" t="e">
        <f t="shared" si="80"/>
        <v>#N/A</v>
      </c>
      <c r="K28" s="75">
        <f>SUM('FU Distribution'!AE90:$AE$109)+IF('FU Distribution'!$D$112=2,'FU Distribution'!$D$114,0)</f>
        <v>0</v>
      </c>
      <c r="L28" s="96" t="e">
        <f>FORECAST((SUM(K28:K1023)),INDEX($B$3:$B$45,MATCH((SUM(K28:K1023)),$A$3:$A$45,1)):INDEX($B$3:$B$45,MATCH((SUM(K28:K1023)),$A$3:$A$45,1)+1),INDEX($A$3:$A$45,MATCH((SUM(K28:K1023)),$A$3:$A$45,1)):INDEX($A$3:$A$45,MATCH((SUM(K28:K1023)),$A$3:$A$45,1)+1))</f>
        <v>#N/A</v>
      </c>
      <c r="M28" s="97" t="e">
        <f t="shared" si="81"/>
        <v>#N/A</v>
      </c>
      <c r="N28" s="75">
        <f>SUM('FU Distribution'!AF90:$AF$109)</f>
        <v>0</v>
      </c>
      <c r="O28" s="96" t="e">
        <f>FORECAST((SUM(N28:N1023)),INDEX($B$3:$B$45,MATCH((SUM(N28:N1023)),$A$3:$A$45,1)):INDEX($B$3:$B$45,MATCH((SUM(N28:N1023)),$A$3:$A$45,1)+1),INDEX($A$3:$A$45,MATCH((SUM(N28:N1023)),$A$3:$A$45,1)):INDEX($A$3:$A$45,MATCH((SUM(N28:N1023)),$A$3:$A$45,1)+1))</f>
        <v>#N/A</v>
      </c>
      <c r="P28" s="97" t="e">
        <f t="shared" si="82"/>
        <v>#N/A</v>
      </c>
      <c r="Q28" s="61">
        <f>SUM('FU Distribution'!AH90:$AH$109)+IF('FU Distribution'!$D$112=3,'FU Distribution'!$D$114,0)</f>
        <v>0</v>
      </c>
      <c r="R28" s="96" t="e">
        <f>FORECAST((SUM(Q28:Q1023)),INDEX($B$3:$B$45,MATCH((SUM(Q28:Q1023)),$A$3:$A$45,1)):INDEX($B$3:$B$45,MATCH((SUM(Q28:Q1023)),$A$3:$A$45,1)+1),INDEX($A$3:$A$45,MATCH((SUM(Q28:Q1023)),$A$3:$A$45,1)):INDEX($A$3:$A$45,MATCH((SUM(Q28:Q1023)),$A$3:$A$45,1)+1))</f>
        <v>#N/A</v>
      </c>
      <c r="S28" s="97" t="e">
        <f t="shared" si="83"/>
        <v>#N/A</v>
      </c>
      <c r="T28" s="61">
        <f>SUM('FU Distribution'!AI90:$AI$109)</f>
        <v>0</v>
      </c>
      <c r="U28" s="96" t="e">
        <f>FORECAST((SUM(T28:T1023)),INDEX($B$3:$B$45,MATCH((SUM(T28:T1023)),$A$3:$A$45,1)):INDEX($B$3:$B$45,MATCH((SUM(T28:T1023)),$A$3:$A$45,1)+1),INDEX($A$3:$A$45,MATCH((SUM(T28:T1023)),$A$3:$A$45,1)):INDEX($A$3:$A$45,MATCH((SUM(T28:T1023)),$A$3:$A$45,1)+1))</f>
        <v>#N/A</v>
      </c>
      <c r="V28" s="97" t="e">
        <f t="shared" si="0"/>
        <v>#N/A</v>
      </c>
      <c r="W28" s="75">
        <f>SUM('FU Distribution'!AK90:$AK$109)+IF('FU Distribution'!$D$112=4,'FU Distribution'!$D$114,0)</f>
        <v>0</v>
      </c>
      <c r="X28" s="96" t="e">
        <f>FORECAST((SUM(W28:W1023)),INDEX($B$3:$B$45,MATCH((SUM(W28:W1023)),$A$3:$A$45,1)):INDEX($B$3:$B$45,MATCH((SUM(W28:W1023)),$A$3:$A$45,1)+1),INDEX($A$3:$A$45,MATCH((SUM(W28:W1023)),$A$3:$A$45,1)):INDEX($A$3:$A$45,MATCH((SUM(W28:W1023)),$A$3:$A$45,1)+1))</f>
        <v>#N/A</v>
      </c>
      <c r="Y28" s="97" t="e">
        <f t="shared" si="1"/>
        <v>#N/A</v>
      </c>
      <c r="Z28" s="75">
        <f>SUM('FU Distribution'!AL90:$AL$109)</f>
        <v>0</v>
      </c>
      <c r="AA28" s="96" t="e">
        <f>FORECAST((SUM(Z28:Z1023)),INDEX($B$3:$B$45,MATCH((SUM(Z28:Z1023)),$A$3:$A$45,1)):INDEX($B$3:$B$45,MATCH((SUM(Z28:Z1023)),$A$3:$A$45,1)+1),INDEX($A$3:$A$45,MATCH((SUM(Z28:Z1023)),$A$3:$A$45,1)):INDEX($A$3:$A$45,MATCH((SUM(Z28:Z1023)),$A$3:$A$45,1)+1))</f>
        <v>#N/A</v>
      </c>
      <c r="AB28" s="97" t="e">
        <f t="shared" si="84"/>
        <v>#N/A</v>
      </c>
      <c r="AC28" s="61">
        <f>SUM('FU Distribution'!AN90:$AN$109)+IF('FU Distribution'!$D$112=5,'FU Distribution'!$D$114,0)</f>
        <v>0</v>
      </c>
      <c r="AD28" s="96" t="e">
        <f>FORECAST((SUM(AC28:AC1023)),INDEX($B$3:$B$45,MATCH((SUM(AC28:AC1023)),$A$3:$A$45,1)):INDEX($B$3:$B$45,MATCH((SUM(AC28:AC1023)),$A$3:$A$45,1)+1),INDEX($A$3:$A$45,MATCH((SUM(AC28:AC1023)),$A$3:$A$45,1)):INDEX($A$3:$A$45,MATCH((SUM(AC28:AC1023)),$A$3:$A$45,1)+1))</f>
        <v>#N/A</v>
      </c>
      <c r="AE28" s="97" t="e">
        <f t="shared" si="85"/>
        <v>#N/A</v>
      </c>
      <c r="AF28" s="61">
        <f>SUM('FU Distribution'!AO90:$AO$109)</f>
        <v>0</v>
      </c>
      <c r="AG28" s="96" t="e">
        <f>FORECAST((SUM(AF28:AF1023)),INDEX($B$3:$B$45,MATCH((SUM(AF28:AF1023)),$A$3:$A$45,1)):INDEX($B$3:$B$45,MATCH((SUM(AF28:AF1023)),$A$3:$A$45,1)+1),INDEX($A$3:$A$45,MATCH((SUM(AF28:AF1023)),$A$3:$A$45,1)):INDEX($A$3:$A$45,MATCH((SUM(AF28:AF1023)),$A$3:$A$45,1)+1))</f>
        <v>#N/A</v>
      </c>
      <c r="AH28" s="97" t="e">
        <f t="shared" si="86"/>
        <v>#N/A</v>
      </c>
      <c r="AI28" s="75">
        <f>SUM('FU Distribution'!AQ90:$AQ$109)+IF('FU Distribution'!$D$112=6,'FU Distribution'!$D$114,0)</f>
        <v>0</v>
      </c>
      <c r="AJ28" s="96" t="e">
        <f>FORECAST((SUM(AI28:AI1023)),INDEX($B$3:$B$45,MATCH((SUM(AI28:AI1023)),$A$3:$A$45,1)):INDEX($B$3:$B$45,MATCH((SUM(AI28:AI1023)),$A$3:$A$45,1)+1),INDEX($A$3:$A$45,MATCH((SUM(AI28:AI1023)),$A$3:$A$45,1)):INDEX($A$3:$A$45,MATCH((SUM(AI28:AI1023)),$A$3:$A$45,1)+1))</f>
        <v>#N/A</v>
      </c>
      <c r="AK28" s="97" t="e">
        <f t="shared" si="87"/>
        <v>#N/A</v>
      </c>
      <c r="AL28" s="75">
        <f>SUM('FU Distribution'!AR90:$AR$109)</f>
        <v>0</v>
      </c>
      <c r="AM28" s="96" t="e">
        <f>FORECAST((SUM(AL28:AL1023)),INDEX($B$3:$B$45,MATCH((SUM(AL28:AL1023)),$A$3:$A$45,1)):INDEX($B$3:$B$45,MATCH((SUM(AL28:AL1023)),$A$3:$A$45,1)+1),INDEX($A$3:$A$45,MATCH((SUM(AL28:AL1023)),$A$3:$A$45,1)):INDEX($A$3:$A$45,MATCH((SUM(AL28:AL1023)),$A$3:$A$45,1)+1))</f>
        <v>#N/A</v>
      </c>
      <c r="AN28" s="97" t="e">
        <f t="shared" si="88"/>
        <v>#N/A</v>
      </c>
      <c r="AO28" s="61">
        <f>SUM('FU Distribution'!AT90:$AT$109)+IF('FU Distribution'!$D$112=7,'FU Distribution'!$D$114,0)</f>
        <v>0</v>
      </c>
      <c r="AP28" s="96" t="e">
        <f>FORECAST((SUM(AO28:AO1023)),INDEX($B$3:$B$45,MATCH((SUM(AO28:AO1023)),$A$3:$A$45,1)):INDEX($B$3:$B$45,MATCH((SUM(AO28:AO1023)),$A$3:$A$45,1)+1),INDEX($A$3:$A$45,MATCH((SUM(AO28:AO1023)),$A$3:$A$45,1)):INDEX($A$3:$A$45,MATCH((SUM(AO28:AO1023)),$A$3:$A$45,1)+1))</f>
        <v>#N/A</v>
      </c>
      <c r="AQ28" s="97" t="e">
        <f t="shared" si="89"/>
        <v>#N/A</v>
      </c>
      <c r="AR28" s="61">
        <f>SUM('FU Distribution'!AU90:$AU$109)</f>
        <v>0</v>
      </c>
      <c r="AS28" s="96" t="e">
        <f>FORECAST((SUM(AR28:AR1023)),INDEX($B$3:$B$45,MATCH((SUM(AR28:AR1023)),$A$3:$A$45,1)):INDEX($B$3:$B$45,MATCH((SUM(AR28:AR1023)),$A$3:$A$45,1)+1),INDEX($A$3:$A$45,MATCH((SUM(AR28:AR1023)),$A$3:$A$45,1)):INDEX($A$3:$A$45,MATCH((SUM(AR28:AR1023)),$A$3:$A$45,1)+1))</f>
        <v>#N/A</v>
      </c>
      <c r="AT28" s="97" t="e">
        <f t="shared" si="90"/>
        <v>#N/A</v>
      </c>
      <c r="AU28" s="61">
        <f>SUM('FU Distribution'!AW90:$AW$109)+IF('FU Distribution'!$D$112=8,'FU Distribution'!$D$114,0)</f>
        <v>0</v>
      </c>
      <c r="AV28" s="98" t="e">
        <f>FORECAST(AU28,INDEX($B$3:$B$45,MATCH(AU28,$A$3:$A$45,1)):INDEX($B$3:$B$45,MATCH(AU28,$A$3:$A$45,1)+1),INDEX($A$3:$A$45,MATCH(AU28,$A$3:$A$45,1)):INDEX($A$3:$A$45,MATCH(AU28,$A$3:$A$45,1)+1))</f>
        <v>#N/A</v>
      </c>
      <c r="AW28" s="97" t="e">
        <f t="shared" si="91"/>
        <v>#N/A</v>
      </c>
      <c r="AX28" s="61">
        <f>SUM('FU Distribution'!AX90:$AX$109)</f>
        <v>0</v>
      </c>
      <c r="AY28" s="98" t="e">
        <f>FORECAST(AX28,INDEX($B$3:$B$45,MATCH(AX28,$A$3:$A$45,1)):INDEX($B$3:$B$45,MATCH(AX28,$A$3:$A$45,1)+1),INDEX($A$3:$A$45,MATCH(AX28,$A$3:$A$45,1)):INDEX($A$3:$A$45,MATCH(AX28,$A$3:$A$45,1)+1))</f>
        <v>#N/A</v>
      </c>
      <c r="AZ28" s="97" t="e">
        <f t="shared" si="92"/>
        <v>#N/A</v>
      </c>
      <c r="BA28" s="75">
        <f>SUM('FU Distribution'!AZ90:$AZ$109)+IF('FU Distribution'!$D$112=9,'FU Distribution'!$D$114,0)</f>
        <v>0</v>
      </c>
      <c r="BB28" s="76" t="e">
        <f>FORECAST((SUM(BA28:BA1023)),INDEX($B$3:$B$45,MATCH((SUM(BA28:BA1023)),$A$3:$A$45,1)):INDEX($B$3:$B$45,MATCH((SUM(BA28:BA1023)),$A$3:$A$45,1)+1),INDEX($A$3:$A$45,MATCH((SUM(BA28:BA1023)),$A$3:$A$45,1)):INDEX($A$3:$A$45,MATCH((SUM(BA28:BA1023)),$A$3:$A$45,1)+1))</f>
        <v>#N/A</v>
      </c>
      <c r="BC28" s="77" t="e">
        <f t="shared" si="3"/>
        <v>#N/A</v>
      </c>
      <c r="BD28" s="75">
        <f>SUM('FU Distribution'!BA90:$BA$109)</f>
        <v>0</v>
      </c>
      <c r="BE28" s="76" t="e">
        <f>FORECAST((SUM(BD28:BD1023)),INDEX($B$3:$B$45,MATCH((SUM(BD28:BD1023)),$A$3:$A$45,1)):INDEX($B$3:$B$45,MATCH((SUM(BD28:BD1023)),$A$3:$A$45,1)+1),INDEX($A$3:$A$45,MATCH((SUM(BD28:BD1023)),$A$3:$A$45,1)):INDEX($A$3:$A$45,MATCH((SUM(BD28:BD1023)),$A$3:$A$45,1)+1))</f>
        <v>#N/A</v>
      </c>
      <c r="BF28" s="77" t="e">
        <f t="shared" si="4"/>
        <v>#N/A</v>
      </c>
      <c r="BG28" s="61">
        <f>SUM('FU Distribution'!BC90:$BC$109)+IF('FU Distribution'!$D$112=10,'FU Distribution'!$D$114,0)</f>
        <v>0</v>
      </c>
      <c r="BH28" s="62" t="e">
        <f>FORECAST((SUM(BG28:BG1023)),INDEX($B$3:$B$45,MATCH((SUM(BG28:BG1023)),$A$3:$A$45,1)):INDEX($B$3:$B$45,MATCH((SUM(BG28:BG1023)),$A$3:$A$45,1)+1),INDEX($A$3:$A$45,MATCH((SUM(BG28:BG1023)),$A$3:$A$45,1)):INDEX($A$3:$A$45,MATCH((SUM(BG28:BG1023)),$A$3:$A$45,1)+1))</f>
        <v>#N/A</v>
      </c>
      <c r="BI28" s="74" t="e">
        <f t="shared" si="5"/>
        <v>#N/A</v>
      </c>
      <c r="BJ28" s="61">
        <f>SUM('FU Distribution'!BD90:$BD$109)</f>
        <v>0</v>
      </c>
      <c r="BK28" s="62" t="e">
        <f>FORECAST((SUM(BJ28:BJ1023)),INDEX($B$3:$B$45,MATCH((SUM(BJ28:BJ1023)),$A$3:$A$45,1)):INDEX($B$3:$B$45,MATCH((SUM(BJ28:BJ1023)),$A$3:$A$45,1)+1),INDEX($A$3:$A$45,MATCH((SUM(BJ28:BJ1023)),$A$3:$A$45,1)):INDEX($A$3:$A$45,MATCH((SUM(BJ28:BJ1023)),$A$3:$A$45,1)+1))</f>
        <v>#N/A</v>
      </c>
      <c r="BL28" s="74" t="e">
        <f t="shared" si="6"/>
        <v>#N/A</v>
      </c>
      <c r="BM28" s="75">
        <f>SUM('FU Distribution'!BF90:$BF$109)+IF('FU Distribution'!$D$112=11,'FU Distribution'!$D$114,0)</f>
        <v>0</v>
      </c>
      <c r="BN28" s="76" t="e">
        <f>FORECAST((SUM(BM28:BM1023)),INDEX($B$3:$B$45,MATCH((SUM(BM28:BM1023)),$A$3:$A$45,1)):INDEX($B$3:$B$45,MATCH((SUM(BM28:BM1023)),$A$3:$A$45,1)+1),INDEX($A$3:$A$45,MATCH((SUM(BM28:BM1023)),$A$3:$A$45,1)):INDEX($A$3:$A$45,MATCH((SUM(BM28:BM1023)),$A$3:$A$45,1)+1))</f>
        <v>#N/A</v>
      </c>
      <c r="BO28" s="77" t="e">
        <f t="shared" si="7"/>
        <v>#N/A</v>
      </c>
      <c r="BP28" s="75">
        <f>SUM('FU Distribution'!BG90:$BG$109)</f>
        <v>0</v>
      </c>
      <c r="BQ28" s="76" t="e">
        <f>FORECAST((SUM(BP28:BP1023)),INDEX($B$3:$B$45,MATCH((SUM(BP28:BP1023)),$A$3:$A$45,1)):INDEX($B$3:$B$45,MATCH((SUM(BP28:BP1023)),$A$3:$A$45,1)+1),INDEX($A$3:$A$45,MATCH((SUM(BP28:BP1023)),$A$3:$A$45,1)):INDEX($A$3:$A$45,MATCH((SUM(BP28:BP1023)),$A$3:$A$45,1)+1))</f>
        <v>#N/A</v>
      </c>
      <c r="BR28" s="77" t="e">
        <f t="shared" si="8"/>
        <v>#N/A</v>
      </c>
      <c r="BS28" s="61">
        <f>SUM('FU Distribution'!BI90:$BI$109)+IF('FU Distribution'!$D$112=12,'FU Distribution'!$D$114,0)</f>
        <v>0</v>
      </c>
      <c r="BT28" s="62" t="e">
        <f>FORECAST(BS28,INDEX($B$3:$B$45,MATCH(BS28,$A$3:$A$45,1)):INDEX($B$3:$B$45,MATCH(BS28,$A$3:$A$45,1)+1),INDEX($A$3:$A$45,MATCH(BS28,$A$3:$A$45,1)):INDEX($A$3:$A$45,MATCH(BS28,$A$3:$A$45,1)+1))</f>
        <v>#N/A</v>
      </c>
      <c r="BU28" s="74" t="e">
        <f t="shared" si="9"/>
        <v>#N/A</v>
      </c>
      <c r="BV28" s="61">
        <f>SUM('FU Distribution'!BJ90:$BJ$109)</f>
        <v>0</v>
      </c>
      <c r="BW28" s="62" t="e">
        <f>FORECAST(BV28,INDEX($B$3:$B$45,MATCH(BV28,$A$3:$A$45,1)):INDEX($B$3:$B$45,MATCH(BV28,$A$3:$A$45,1)+1),INDEX($A$3:$A$45,MATCH(BV28,$A$3:$A$45,1)):INDEX($A$3:$A$45,MATCH(BV28,$A$3:$A$45,1)+1))</f>
        <v>#N/A</v>
      </c>
      <c r="BX28" s="74" t="e">
        <f t="shared" si="10"/>
        <v>#N/A</v>
      </c>
      <c r="BY28" s="75">
        <f>SUM('FU Distribution'!BL90:$BL$109)+IF('FU Distribution'!$D$112=13,'FU Distribution'!$D$114,0)</f>
        <v>0</v>
      </c>
      <c r="BZ28" s="76" t="e">
        <f>FORECAST(BY28,INDEX($B$3:$B$45,MATCH(BY28,$A$3:$A$45,1)):INDEX($B$3:$B$45,MATCH(BY28,$A$3:$A$45,1)+1),INDEX($A$3:$A$45,MATCH(BY28,$A$3:$A$45,1)):INDEX($A$3:$A$45,MATCH(BY28,$A$3:$A$45,1)+1))</f>
        <v>#N/A</v>
      </c>
      <c r="CA28" s="77" t="e">
        <f t="shared" si="11"/>
        <v>#N/A</v>
      </c>
      <c r="CB28" s="75">
        <f>SUM('FU Distribution'!BM90:$BM$109)</f>
        <v>0</v>
      </c>
      <c r="CC28" s="76" t="e">
        <f>FORECAST(CB28,INDEX($B$3:$B$45,MATCH(CB28,$A$3:$A$45,1)):INDEX($B$3:$B$45,MATCH(CB28,$A$3:$A$45,1)+1),INDEX($A$3:$A$45,MATCH(CB28,$A$3:$A$45,1)):INDEX($A$3:$A$45,MATCH(CB28,$A$3:$A$45,1)+1))</f>
        <v>#N/A</v>
      </c>
      <c r="CD28" s="77" t="e">
        <f t="shared" si="12"/>
        <v>#N/A</v>
      </c>
      <c r="CE28" s="61">
        <f>SUM('FU Distribution'!BO90:$BO$109)+IF('FU Distribution'!$D$112=13,'FU Distribution'!$D$114,0)</f>
        <v>0</v>
      </c>
      <c r="CF28" s="62" t="e">
        <f>FORECAST(CE28,INDEX($B$3:$B$45,MATCH(CE28,$A$3:$A$45,1)):INDEX($B$3:$B$45,MATCH(CE28,$A$3:$A$45,1)+1),INDEX($A$3:$A$45,MATCH(CE28,$A$3:$A$45,1)):INDEX($A$3:$A$45,MATCH(CE28,$A$3:$A$45,1)+1))</f>
        <v>#N/A</v>
      </c>
      <c r="CG28" s="74" t="e">
        <f t="shared" si="13"/>
        <v>#N/A</v>
      </c>
      <c r="CH28" s="61">
        <f>SUM('FU Distribution'!BP90:$BP$109)</f>
        <v>0</v>
      </c>
      <c r="CI28" s="62" t="e">
        <f>FORECAST(CH28,INDEX($B$3:$B$45,MATCH(CH28,$A$3:$A$45,1)):INDEX($B$3:$B$45,MATCH(CH28,$A$3:$A$45,1)+1),INDEX($A$3:$A$45,MATCH(CH28,$A$3:$A$45,1)):INDEX($A$3:$A$45,MATCH(CH28,$A$3:$A$45,1)+1))</f>
        <v>#N/A</v>
      </c>
      <c r="CJ28" s="74" t="e">
        <f t="shared" si="14"/>
        <v>#N/A</v>
      </c>
    </row>
    <row r="29" spans="1:88" x14ac:dyDescent="0.25">
      <c r="A29" s="2">
        <v>250</v>
      </c>
      <c r="B29" s="2">
        <v>78</v>
      </c>
      <c r="C29" s="63"/>
      <c r="D29" s="52">
        <v>25</v>
      </c>
      <c r="E29" s="61">
        <f>SUM('FU Distribution'!AB91:$AB$109)+IF('FU Distribution'!$D$112=1,'FU Distribution'!$D$114,0)</f>
        <v>0</v>
      </c>
      <c r="F29" s="98" t="e">
        <f>FORECAST((SUM(E29:E1023)),INDEX($B$3:$B$45,MATCH((SUM(E29:E1023)),$A$3:$A$45,1)):INDEX($B$3:$B$45,MATCH((SUM(E29:E1023)),$A$3:$A$45,1)+1),INDEX($A$3:$A$45,MATCH((SUM(E29:E1023)),$A$3:$A$45,1)):INDEX($A$3:$A$45,MATCH((SUM(E29:E1023)),$A$3:$A$45,1)+1))</f>
        <v>#N/A</v>
      </c>
      <c r="G29" s="99" t="e">
        <f t="shared" si="79"/>
        <v>#N/A</v>
      </c>
      <c r="H29" s="61">
        <f>SUM('FU Distribution'!AC91:$AC$109)</f>
        <v>0</v>
      </c>
      <c r="I29" s="98" t="e">
        <f>FORECAST((SUM(H29:H1024)),INDEX($B$3:$B$45,MATCH((SUM(H29:H1024)),$A$3:$A$45,1)):INDEX($B$3:$B$45,MATCH((SUM(H29:H1024)),$A$3:$A$45,1)+1),INDEX($A$3:$A$45,MATCH((SUM(H29:H1024)),$A$3:$A$45,1)):INDEX($A$3:$A$45,MATCH((SUM(H29:H1024)),$A$3:$A$45,1)+1))</f>
        <v>#N/A</v>
      </c>
      <c r="J29" s="99" t="e">
        <f t="shared" si="80"/>
        <v>#N/A</v>
      </c>
      <c r="K29" s="75">
        <f>SUM('FU Distribution'!AE91:$AE$109)+IF('FU Distribution'!$D$112=2,'FU Distribution'!$D$114,0)</f>
        <v>0</v>
      </c>
      <c r="L29" s="100" t="e">
        <f>FORECAST((SUM(K29:K1024)),INDEX($B$3:$B$45,MATCH((SUM(K29:K1024)),$A$3:$A$45,1)):INDEX($B$3:$B$45,MATCH((SUM(K29:K1024)),$A$3:$A$45,1)+1),INDEX($A$3:$A$45,MATCH((SUM(K29:K1024)),$A$3:$A$45,1)):INDEX($A$3:$A$45,MATCH((SUM(K29:K1024)),$A$3:$A$45,1)+1))</f>
        <v>#N/A</v>
      </c>
      <c r="M29" s="101" t="e">
        <f t="shared" si="81"/>
        <v>#N/A</v>
      </c>
      <c r="N29" s="75">
        <f>SUM('FU Distribution'!AF91:$AF$109)</f>
        <v>0</v>
      </c>
      <c r="O29" s="100" t="e">
        <f>FORECAST((SUM(N29:N1024)),INDEX($B$3:$B$45,MATCH((SUM(N29:N1024)),$A$3:$A$45,1)):INDEX($B$3:$B$45,MATCH((SUM(N29:N1024)),$A$3:$A$45,1)+1),INDEX($A$3:$A$45,MATCH((SUM(N29:N1024)),$A$3:$A$45,1)):INDEX($A$3:$A$45,MATCH((SUM(N29:N1024)),$A$3:$A$45,1)+1))</f>
        <v>#N/A</v>
      </c>
      <c r="P29" s="101" t="e">
        <f t="shared" si="82"/>
        <v>#N/A</v>
      </c>
      <c r="Q29" s="61">
        <f>SUM('FU Distribution'!AH91:$AH$109)+IF('FU Distribution'!$D$112=3,'FU Distribution'!$D$114,0)</f>
        <v>0</v>
      </c>
      <c r="R29" s="98" t="e">
        <f>FORECAST((SUM(Q29:Q1024)),INDEX($B$3:$B$45,MATCH((SUM(Q29:Q1024)),$A$3:$A$45,1)):INDEX($B$3:$B$45,MATCH((SUM(Q29:Q1024)),$A$3:$A$45,1)+1),INDEX($A$3:$A$45,MATCH((SUM(Q29:Q1024)),$A$3:$A$45,1)):INDEX($A$3:$A$45,MATCH((SUM(Q29:Q1024)),$A$3:$A$45,1)+1))</f>
        <v>#N/A</v>
      </c>
      <c r="S29" s="99" t="e">
        <f t="shared" si="83"/>
        <v>#N/A</v>
      </c>
      <c r="T29" s="61">
        <f>SUM('FU Distribution'!AI91:$AI$109)</f>
        <v>0</v>
      </c>
      <c r="U29" s="98" t="e">
        <f>FORECAST((SUM(T29:T1024)),INDEX($B$3:$B$45,MATCH((SUM(T29:T1024)),$A$3:$A$45,1)):INDEX($B$3:$B$45,MATCH((SUM(T29:T1024)),$A$3:$A$45,1)+1),INDEX($A$3:$A$45,MATCH((SUM(T29:T1024)),$A$3:$A$45,1)):INDEX($A$3:$A$45,MATCH((SUM(T29:T1024)),$A$3:$A$45,1)+1))</f>
        <v>#N/A</v>
      </c>
      <c r="V29" s="99" t="e">
        <f t="shared" si="0"/>
        <v>#N/A</v>
      </c>
      <c r="W29" s="75">
        <f>SUM('FU Distribution'!AK91:$AK$109)+IF('FU Distribution'!$D$112=4,'FU Distribution'!$D$114,0)</f>
        <v>0</v>
      </c>
      <c r="X29" s="100" t="e">
        <f>FORECAST((SUM(W29:W1024)),INDEX($B$3:$B$45,MATCH((SUM(W29:W1024)),$A$3:$A$45,1)):INDEX($B$3:$B$45,MATCH((SUM(W29:W1024)),$A$3:$A$45,1)+1),INDEX($A$3:$A$45,MATCH((SUM(W29:W1024)),$A$3:$A$45,1)):INDEX($A$3:$A$45,MATCH((SUM(W29:W1024)),$A$3:$A$45,1)+1))</f>
        <v>#N/A</v>
      </c>
      <c r="Y29" s="101" t="e">
        <f t="shared" si="1"/>
        <v>#N/A</v>
      </c>
      <c r="Z29" s="75">
        <f>SUM('FU Distribution'!AL91:$AL$109)</f>
        <v>0</v>
      </c>
      <c r="AA29" s="100" t="e">
        <f>FORECAST((SUM(Z29:Z1024)),INDEX($B$3:$B$45,MATCH((SUM(Z29:Z1024)),$A$3:$A$45,1)):INDEX($B$3:$B$45,MATCH((SUM(Z29:Z1024)),$A$3:$A$45,1)+1),INDEX($A$3:$A$45,MATCH((SUM(Z29:Z1024)),$A$3:$A$45,1)):INDEX($A$3:$A$45,MATCH((SUM(Z29:Z1024)),$A$3:$A$45,1)+1))</f>
        <v>#N/A</v>
      </c>
      <c r="AB29" s="101" t="e">
        <f t="shared" si="84"/>
        <v>#N/A</v>
      </c>
      <c r="AC29" s="61">
        <f>SUM('FU Distribution'!AN91:$AN$109)+IF('FU Distribution'!$D$112=5,'FU Distribution'!$D$114,0)</f>
        <v>0</v>
      </c>
      <c r="AD29" s="98" t="e">
        <f>FORECAST((SUM(AC29:AC1024)),INDEX($B$3:$B$45,MATCH((SUM(AC29:AC1024)),$A$3:$A$45,1)):INDEX($B$3:$B$45,MATCH((SUM(AC29:AC1024)),$A$3:$A$45,1)+1),INDEX($A$3:$A$45,MATCH((SUM(AC29:AC1024)),$A$3:$A$45,1)):INDEX($A$3:$A$45,MATCH((SUM(AC29:AC1024)),$A$3:$A$45,1)+1))</f>
        <v>#N/A</v>
      </c>
      <c r="AE29" s="99" t="e">
        <f t="shared" si="85"/>
        <v>#N/A</v>
      </c>
      <c r="AF29" s="61">
        <f>SUM('FU Distribution'!AO91:$AO$109)</f>
        <v>0</v>
      </c>
      <c r="AG29" s="98" t="e">
        <f>FORECAST((SUM(AF29:AF1024)),INDEX($B$3:$B$45,MATCH((SUM(AF29:AF1024)),$A$3:$A$45,1)):INDEX($B$3:$B$45,MATCH((SUM(AF29:AF1024)),$A$3:$A$45,1)+1),INDEX($A$3:$A$45,MATCH((SUM(AF29:AF1024)),$A$3:$A$45,1)):INDEX($A$3:$A$45,MATCH((SUM(AF29:AF1024)),$A$3:$A$45,1)+1))</f>
        <v>#N/A</v>
      </c>
      <c r="AH29" s="99" t="e">
        <f t="shared" si="86"/>
        <v>#N/A</v>
      </c>
      <c r="AI29" s="75">
        <f>SUM('FU Distribution'!AQ91:$AQ$109)+IF('FU Distribution'!$D$112=6,'FU Distribution'!$D$114,0)</f>
        <v>0</v>
      </c>
      <c r="AJ29" s="100" t="e">
        <f>FORECAST((SUM(AI29:AI1024)),INDEX($B$3:$B$45,MATCH((SUM(AI29:AI1024)),$A$3:$A$45,1)):INDEX($B$3:$B$45,MATCH((SUM(AI29:AI1024)),$A$3:$A$45,1)+1),INDEX($A$3:$A$45,MATCH((SUM(AI29:AI1024)),$A$3:$A$45,1)):INDEX($A$3:$A$45,MATCH((SUM(AI29:AI1024)),$A$3:$A$45,1)+1))</f>
        <v>#N/A</v>
      </c>
      <c r="AK29" s="101" t="e">
        <f t="shared" si="87"/>
        <v>#N/A</v>
      </c>
      <c r="AL29" s="75">
        <f>SUM('FU Distribution'!AR91:$AR$109)</f>
        <v>0</v>
      </c>
      <c r="AM29" s="100" t="e">
        <f>FORECAST((SUM(AL29:AL1024)),INDEX($B$3:$B$45,MATCH((SUM(AL29:AL1024)),$A$3:$A$45,1)):INDEX($B$3:$B$45,MATCH((SUM(AL29:AL1024)),$A$3:$A$45,1)+1),INDEX($A$3:$A$45,MATCH((SUM(AL29:AL1024)),$A$3:$A$45,1)):INDEX($A$3:$A$45,MATCH((SUM(AL29:AL1024)),$A$3:$A$45,1)+1))</f>
        <v>#N/A</v>
      </c>
      <c r="AN29" s="101" t="e">
        <f t="shared" si="88"/>
        <v>#N/A</v>
      </c>
      <c r="AO29" s="61">
        <f>SUM('FU Distribution'!AT91:$AT$109)+IF('FU Distribution'!$D$112=7,'FU Distribution'!$D$114,0)</f>
        <v>0</v>
      </c>
      <c r="AP29" s="98" t="e">
        <f>FORECAST((SUM(AO29:AO1024)),INDEX($B$3:$B$45,MATCH((SUM(AO29:AO1024)),$A$3:$A$45,1)):INDEX($B$3:$B$45,MATCH((SUM(AO29:AO1024)),$A$3:$A$45,1)+1),INDEX($A$3:$A$45,MATCH((SUM(AO29:AO1024)),$A$3:$A$45,1)):INDEX($A$3:$A$45,MATCH((SUM(AO29:AO1024)),$A$3:$A$45,1)+1))</f>
        <v>#N/A</v>
      </c>
      <c r="AQ29" s="99" t="e">
        <f t="shared" si="89"/>
        <v>#N/A</v>
      </c>
      <c r="AR29" s="61">
        <f>SUM('FU Distribution'!AU91:$AU$109)</f>
        <v>0</v>
      </c>
      <c r="AS29" s="98" t="e">
        <f>FORECAST((SUM(AR29:AR1024)),INDEX($B$3:$B$45,MATCH((SUM(AR29:AR1024)),$A$3:$A$45,1)):INDEX($B$3:$B$45,MATCH((SUM(AR29:AR1024)),$A$3:$A$45,1)+1),INDEX($A$3:$A$45,MATCH((SUM(AR29:AR1024)),$A$3:$A$45,1)):INDEX($A$3:$A$45,MATCH((SUM(AR29:AR1024)),$A$3:$A$45,1)+1))</f>
        <v>#N/A</v>
      </c>
      <c r="AT29" s="99" t="e">
        <f t="shared" si="90"/>
        <v>#N/A</v>
      </c>
      <c r="AU29" s="61">
        <f>SUM('FU Distribution'!AW91:$AW$109)+IF('FU Distribution'!$D$112=8,'FU Distribution'!$D$114,0)</f>
        <v>0</v>
      </c>
      <c r="AV29" s="98" t="e">
        <f>FORECAST(AU29,INDEX($B$3:$B$45,MATCH(AU29,$A$3:$A$45,1)):INDEX($B$3:$B$45,MATCH(AU29,$A$3:$A$45,1)+1),INDEX($A$3:$A$45,MATCH(AU29,$A$3:$A$45,1)):INDEX($A$3:$A$45,MATCH(AU29,$A$3:$A$45,1)+1))</f>
        <v>#N/A</v>
      </c>
      <c r="AW29" s="99" t="e">
        <f t="shared" si="91"/>
        <v>#N/A</v>
      </c>
      <c r="AX29" s="61">
        <f>SUM('FU Distribution'!AX91:$AX$109)</f>
        <v>0</v>
      </c>
      <c r="AY29" s="98" t="e">
        <f>FORECAST(AX29,INDEX($B$3:$B$45,MATCH(AX29,$A$3:$A$45,1)):INDEX($B$3:$B$45,MATCH(AX29,$A$3:$A$45,1)+1),INDEX($A$3:$A$45,MATCH(AX29,$A$3:$A$45,1)):INDEX($A$3:$A$45,MATCH(AX29,$A$3:$A$45,1)+1))</f>
        <v>#N/A</v>
      </c>
      <c r="AZ29" s="99" t="e">
        <f t="shared" si="92"/>
        <v>#N/A</v>
      </c>
      <c r="BA29" s="75">
        <f>SUM('FU Distribution'!AZ91:$AZ$109)+IF('FU Distribution'!$D$112=9,'FU Distribution'!$D$114,0)</f>
        <v>0</v>
      </c>
      <c r="BB29" s="76" t="e">
        <f>FORECAST((SUM(BA29:BA1024)),INDEX($B$3:$B$45,MATCH((SUM(BA29:BA1024)),$A$3:$A$45,1)):INDEX($B$3:$B$45,MATCH((SUM(BA29:BA1024)),$A$3:$A$45,1)+1),INDEX($A$3:$A$45,MATCH((SUM(BA29:BA1024)),$A$3:$A$45,1)):INDEX($A$3:$A$45,MATCH((SUM(BA29:BA1024)),$A$3:$A$45,1)+1))</f>
        <v>#N/A</v>
      </c>
      <c r="BC29" s="77" t="e">
        <f t="shared" si="3"/>
        <v>#N/A</v>
      </c>
      <c r="BD29" s="75">
        <f>SUM('FU Distribution'!BA91:$BA$109)</f>
        <v>0</v>
      </c>
      <c r="BE29" s="76" t="e">
        <f>FORECAST((SUM(BD29:BD1024)),INDEX($B$3:$B$45,MATCH((SUM(BD29:BD1024)),$A$3:$A$45,1)):INDEX($B$3:$B$45,MATCH((SUM(BD29:BD1024)),$A$3:$A$45,1)+1),INDEX($A$3:$A$45,MATCH((SUM(BD29:BD1024)),$A$3:$A$45,1)):INDEX($A$3:$A$45,MATCH((SUM(BD29:BD1024)),$A$3:$A$45,1)+1))</f>
        <v>#N/A</v>
      </c>
      <c r="BF29" s="77" t="e">
        <f t="shared" si="4"/>
        <v>#N/A</v>
      </c>
      <c r="BG29" s="61">
        <f>SUM('FU Distribution'!BC91:$BC$109)+IF('FU Distribution'!$D$112=10,'FU Distribution'!$D$114,0)</f>
        <v>0</v>
      </c>
      <c r="BH29" s="62" t="e">
        <f>FORECAST((SUM(BG29:BG1024)),INDEX($B$3:$B$45,MATCH((SUM(BG29:BG1024)),$A$3:$A$45,1)):INDEX($B$3:$B$45,MATCH((SUM(BG29:BG1024)),$A$3:$A$45,1)+1),INDEX($A$3:$A$45,MATCH((SUM(BG29:BG1024)),$A$3:$A$45,1)):INDEX($A$3:$A$45,MATCH((SUM(BG29:BG1024)),$A$3:$A$45,1)+1))</f>
        <v>#N/A</v>
      </c>
      <c r="BI29" s="74" t="e">
        <f t="shared" si="5"/>
        <v>#N/A</v>
      </c>
      <c r="BJ29" s="61">
        <f>SUM('FU Distribution'!BD91:$BD$109)</f>
        <v>0</v>
      </c>
      <c r="BK29" s="62" t="e">
        <f>FORECAST((SUM(BJ29:BJ1024)),INDEX($B$3:$B$45,MATCH((SUM(BJ29:BJ1024)),$A$3:$A$45,1)):INDEX($B$3:$B$45,MATCH((SUM(BJ29:BJ1024)),$A$3:$A$45,1)+1),INDEX($A$3:$A$45,MATCH((SUM(BJ29:BJ1024)),$A$3:$A$45,1)):INDEX($A$3:$A$45,MATCH((SUM(BJ29:BJ1024)),$A$3:$A$45,1)+1))</f>
        <v>#N/A</v>
      </c>
      <c r="BL29" s="74" t="e">
        <f t="shared" si="6"/>
        <v>#N/A</v>
      </c>
      <c r="BM29" s="75">
        <f>SUM('FU Distribution'!BF91:$BF$109)+IF('FU Distribution'!$D$112=11,'FU Distribution'!$D$114,0)</f>
        <v>0</v>
      </c>
      <c r="BN29" s="76" t="e">
        <f>FORECAST((SUM(BM29:BM1024)),INDEX($B$3:$B$45,MATCH((SUM(BM29:BM1024)),$A$3:$A$45,1)):INDEX($B$3:$B$45,MATCH((SUM(BM29:BM1024)),$A$3:$A$45,1)+1),INDEX($A$3:$A$45,MATCH((SUM(BM29:BM1024)),$A$3:$A$45,1)):INDEX($A$3:$A$45,MATCH((SUM(BM29:BM1024)),$A$3:$A$45,1)+1))</f>
        <v>#N/A</v>
      </c>
      <c r="BO29" s="77" t="e">
        <f t="shared" si="7"/>
        <v>#N/A</v>
      </c>
      <c r="BP29" s="75">
        <f>SUM('FU Distribution'!BG91:$BG$109)</f>
        <v>0</v>
      </c>
      <c r="BQ29" s="76" t="e">
        <f>FORECAST((SUM(BP29:BP1024)),INDEX($B$3:$B$45,MATCH((SUM(BP29:BP1024)),$A$3:$A$45,1)):INDEX($B$3:$B$45,MATCH((SUM(BP29:BP1024)),$A$3:$A$45,1)+1),INDEX($A$3:$A$45,MATCH((SUM(BP29:BP1024)),$A$3:$A$45,1)):INDEX($A$3:$A$45,MATCH((SUM(BP29:BP1024)),$A$3:$A$45,1)+1))</f>
        <v>#N/A</v>
      </c>
      <c r="BR29" s="77" t="e">
        <f t="shared" si="8"/>
        <v>#N/A</v>
      </c>
      <c r="BS29" s="61">
        <f>SUM('FU Distribution'!BI91:$BI$109)+IF('FU Distribution'!$D$112=12,'FU Distribution'!$D$114,0)</f>
        <v>0</v>
      </c>
      <c r="BT29" s="62" t="e">
        <f>FORECAST(BS29,INDEX($B$3:$B$45,MATCH(BS29,$A$3:$A$45,1)):INDEX($B$3:$B$45,MATCH(BS29,$A$3:$A$45,1)+1),INDEX($A$3:$A$45,MATCH(BS29,$A$3:$A$45,1)):INDEX($A$3:$A$45,MATCH(BS29,$A$3:$A$45,1)+1))</f>
        <v>#N/A</v>
      </c>
      <c r="BU29" s="74" t="e">
        <f t="shared" si="9"/>
        <v>#N/A</v>
      </c>
      <c r="BV29" s="61">
        <f>SUM('FU Distribution'!BJ91:$BJ$109)</f>
        <v>0</v>
      </c>
      <c r="BW29" s="62" t="e">
        <f>FORECAST(BV29,INDEX($B$3:$B$45,MATCH(BV29,$A$3:$A$45,1)):INDEX($B$3:$B$45,MATCH(BV29,$A$3:$A$45,1)+1),INDEX($A$3:$A$45,MATCH(BV29,$A$3:$A$45,1)):INDEX($A$3:$A$45,MATCH(BV29,$A$3:$A$45,1)+1))</f>
        <v>#N/A</v>
      </c>
      <c r="BX29" s="74" t="e">
        <f t="shared" si="10"/>
        <v>#N/A</v>
      </c>
      <c r="BY29" s="75">
        <f>SUM('FU Distribution'!BL91:$BL$109)+IF('FU Distribution'!$D$112=13,'FU Distribution'!$D$114,0)</f>
        <v>0</v>
      </c>
      <c r="BZ29" s="76" t="e">
        <f>FORECAST(BY29,INDEX($B$3:$B$45,MATCH(BY29,$A$3:$A$45,1)):INDEX($B$3:$B$45,MATCH(BY29,$A$3:$A$45,1)+1),INDEX($A$3:$A$45,MATCH(BY29,$A$3:$A$45,1)):INDEX($A$3:$A$45,MATCH(BY29,$A$3:$A$45,1)+1))</f>
        <v>#N/A</v>
      </c>
      <c r="CA29" s="77" t="e">
        <f t="shared" si="11"/>
        <v>#N/A</v>
      </c>
      <c r="CB29" s="75">
        <f>SUM('FU Distribution'!BM91:$BM$109)</f>
        <v>0</v>
      </c>
      <c r="CC29" s="76" t="e">
        <f>FORECAST(CB29,INDEX($B$3:$B$45,MATCH(CB29,$A$3:$A$45,1)):INDEX($B$3:$B$45,MATCH(CB29,$A$3:$A$45,1)+1),INDEX($A$3:$A$45,MATCH(CB29,$A$3:$A$45,1)):INDEX($A$3:$A$45,MATCH(CB29,$A$3:$A$45,1)+1))</f>
        <v>#N/A</v>
      </c>
      <c r="CD29" s="77" t="e">
        <f t="shared" si="12"/>
        <v>#N/A</v>
      </c>
      <c r="CE29" s="61">
        <f>SUM('FU Distribution'!BO91:$BO$109)+IF('FU Distribution'!$D$112=13,'FU Distribution'!$D$114,0)</f>
        <v>0</v>
      </c>
      <c r="CF29" s="62" t="e">
        <f>FORECAST(CE29,INDEX($B$3:$B$45,MATCH(CE29,$A$3:$A$45,1)):INDEX($B$3:$B$45,MATCH(CE29,$A$3:$A$45,1)+1),INDEX($A$3:$A$45,MATCH(CE29,$A$3:$A$45,1)):INDEX($A$3:$A$45,MATCH(CE29,$A$3:$A$45,1)+1))</f>
        <v>#N/A</v>
      </c>
      <c r="CG29" s="74" t="e">
        <f t="shared" si="13"/>
        <v>#N/A</v>
      </c>
      <c r="CH29" s="61">
        <f>SUM('FU Distribution'!BP91:$BP$109)</f>
        <v>0</v>
      </c>
      <c r="CI29" s="62" t="e">
        <f>FORECAST(CH29,INDEX($B$3:$B$45,MATCH(CH29,$A$3:$A$45,1)):INDEX($B$3:$B$45,MATCH(CH29,$A$3:$A$45,1)+1),INDEX($A$3:$A$45,MATCH(CH29,$A$3:$A$45,1)):INDEX($A$3:$A$45,MATCH(CH29,$A$3:$A$45,1)+1))</f>
        <v>#N/A</v>
      </c>
      <c r="CJ29" s="74" t="e">
        <f t="shared" si="14"/>
        <v>#N/A</v>
      </c>
    </row>
    <row r="30" spans="1:88" x14ac:dyDescent="0.25">
      <c r="A30" s="2">
        <v>300</v>
      </c>
      <c r="B30" s="2">
        <v>80</v>
      </c>
      <c r="C30" s="63"/>
      <c r="D30" s="52">
        <v>26</v>
      </c>
      <c r="E30" s="61">
        <f>SUM('FU Distribution'!AB92:$AB$109)+IF('FU Distribution'!$D$112=1,'FU Distribution'!$D$114,0)</f>
        <v>0</v>
      </c>
      <c r="F30" s="96" t="e">
        <f>FORECAST((SUM(E30:E1025)),INDEX($B$3:$B$45,MATCH((SUM(E30:E1025)),$A$3:$A$45,1)):INDEX($B$3:$B$45,MATCH((SUM(E30:E1025)),$A$3:$A$45,1)+1),INDEX($A$3:$A$45,MATCH((SUM(E30:E1025)),$A$3:$A$45,1)):INDEX($A$3:$A$45,MATCH((SUM(E30:E1025)),$A$3:$A$45,1)+1))</f>
        <v>#N/A</v>
      </c>
      <c r="G30" s="97" t="e">
        <f t="shared" ref="G30:G31" si="93">IF(AND(F30&lt;=750,F30&gt;250),6,IF(AND(F30&lt;=250,F30&gt;120),4,IF(AND(F30&lt;=120,F30&gt;75),3,IF(AND(F30&lt;=75,F30&gt;40),2.5,IF(AND(F30&lt;=40,F30&gt;20),2,IF(AND(F30&lt;=20,F30&gt;14),1.5,IF(AND(F30&lt;=14,F30&gt;7),1.25,IF(AND(F30&lt;=7,F30&gt;3.5),1,IF(AND(F30&lt;=3.5,F30&gt;1.7),0.75,IF(AND(F30&lt;=1.7,F30&gt;0),0.5,IF(AND(F30&lt;=0,F30&gt;-1),0)))))))))))</f>
        <v>#N/A</v>
      </c>
      <c r="H30" s="61">
        <f>SUM('FU Distribution'!AC92:$AC$109)</f>
        <v>0</v>
      </c>
      <c r="I30" s="96" t="e">
        <f>FORECAST((SUM(H30:H1025)),INDEX($B$3:$B$45,MATCH((SUM(H30:H1025)),$A$3:$A$45,1)):INDEX($B$3:$B$45,MATCH((SUM(H30:H1025)),$A$3:$A$45,1)+1),INDEX($A$3:$A$45,MATCH((SUM(H30:H1025)),$A$3:$A$45,1)):INDEX($A$3:$A$45,MATCH((SUM(H30:H1025)),$A$3:$A$45,1)+1))</f>
        <v>#N/A</v>
      </c>
      <c r="J30" s="97" t="e">
        <f t="shared" ref="J30:J31" si="94">IF(AND(I30&lt;=750,I30&gt;250),6,IF(AND(I30&lt;=250,I30&gt;120),4,IF(AND(I30&lt;=120,I30&gt;75),3,IF(AND(I30&lt;=75,I30&gt;40),2.5,IF(AND(I30&lt;=40,I30&gt;20),2,IF(AND(I30&lt;=20,I30&gt;14),1.5,IF(AND(I30&lt;=14,I30&gt;7),1.25,IF(AND(I30&lt;=7,I30&gt;3.5),1,IF(AND(I30&lt;=3.5,I30&gt;1.7),0.75,IF(AND(I30&lt;=1.7,I30&gt;0),0.5,IF(AND(I30&lt;=0,I30&gt;-1),0)))))))))))</f>
        <v>#N/A</v>
      </c>
      <c r="K30" s="75">
        <f>SUM('FU Distribution'!AE92:$AE$109)+IF('FU Distribution'!$D$112=2,'FU Distribution'!$D$114,0)</f>
        <v>0</v>
      </c>
      <c r="L30" s="96" t="e">
        <f>FORECAST((SUM(K30:K1025)),INDEX($B$3:$B$45,MATCH((SUM(K30:K1025)),$A$3:$A$45,1)):INDEX($B$3:$B$45,MATCH((SUM(K30:K1025)),$A$3:$A$45,1)+1),INDEX($A$3:$A$45,MATCH((SUM(K30:K1025)),$A$3:$A$45,1)):INDEX($A$3:$A$45,MATCH((SUM(K30:K1025)),$A$3:$A$45,1)+1))</f>
        <v>#N/A</v>
      </c>
      <c r="M30" s="97" t="e">
        <f t="shared" ref="M30:M31" si="95">IF(AND(L30&lt;=750,L30&gt;250),6,IF(AND(L30&lt;=250,L30&gt;120),4,IF(AND(L30&lt;=120,L30&gt;75),3,IF(AND(L30&lt;=75,L30&gt;40),2.5,IF(AND(L30&lt;=40,L30&gt;20),2,IF(AND(L30&lt;=20,L30&gt;14),1.5,IF(AND(L30&lt;=14,L30&gt;7),1.25,IF(AND(L30&lt;=7,L30&gt;3.5),1,IF(AND(L30&lt;=3.5,L30&gt;1.7),0.75,IF(AND(L30&lt;=1.7,L30&gt;0),0.5,IF(AND(L30&lt;=0,L30&gt;-1),0)))))))))))</f>
        <v>#N/A</v>
      </c>
      <c r="N30" s="75">
        <f>SUM('FU Distribution'!AF92:$AF$109)</f>
        <v>0</v>
      </c>
      <c r="O30" s="96" t="e">
        <f>FORECAST((SUM(N30:N1025)),INDEX($B$3:$B$45,MATCH((SUM(N30:N1025)),$A$3:$A$45,1)):INDEX($B$3:$B$45,MATCH((SUM(N30:N1025)),$A$3:$A$45,1)+1),INDEX($A$3:$A$45,MATCH((SUM(N30:N1025)),$A$3:$A$45,1)):INDEX($A$3:$A$45,MATCH((SUM(N30:N1025)),$A$3:$A$45,1)+1))</f>
        <v>#N/A</v>
      </c>
      <c r="P30" s="97" t="e">
        <f t="shared" ref="P30:P31" si="96">IF(AND(O30&lt;=750,O30&gt;250),6,IF(AND(O30&lt;=250,O30&gt;120),4,IF(AND(O30&lt;=120,O30&gt;75),3,IF(AND(O30&lt;=75,O30&gt;40),2.5,IF(AND(O30&lt;=40,O30&gt;20),2,IF(AND(O30&lt;=20,O30&gt;14),1.5,IF(AND(O30&lt;=14,O30&gt;7),1.25,IF(AND(O30&lt;=7,O30&gt;3.5),1,IF(AND(O30&lt;=3.5,O30&gt;1.7),0.75,IF(AND(O30&lt;=1.7,O30&gt;0),0.5,IF(AND(O30&lt;=0,O30&gt;-1),0)))))))))))</f>
        <v>#N/A</v>
      </c>
      <c r="Q30" s="61">
        <f>SUM('FU Distribution'!AH92:$AH$109)+IF('FU Distribution'!$D$112=3,'FU Distribution'!$D$114,0)</f>
        <v>0</v>
      </c>
      <c r="R30" s="96" t="e">
        <f>FORECAST((SUM(Q30:Q1025)),INDEX($B$3:$B$45,MATCH((SUM(Q30:Q1025)),$A$3:$A$45,1)):INDEX($B$3:$B$45,MATCH((SUM(Q30:Q1025)),$A$3:$A$45,1)+1),INDEX($A$3:$A$45,MATCH((SUM(Q30:Q1025)),$A$3:$A$45,1)):INDEX($A$3:$A$45,MATCH((SUM(Q30:Q1025)),$A$3:$A$45,1)+1))</f>
        <v>#N/A</v>
      </c>
      <c r="S30" s="97" t="e">
        <f t="shared" ref="S30:S31" si="97">IF(AND(R30&lt;=750,R30&gt;250),6,IF(AND(R30&lt;=250,R30&gt;120),4,IF(AND(R30&lt;=120,R30&gt;75),3,IF(AND(R30&lt;=75,R30&gt;40),2.5,IF(AND(R30&lt;=40,R30&gt;20),2,IF(AND(R30&lt;=20,R30&gt;14),1.5,IF(AND(R30&lt;=14,R30&gt;7),1.25,IF(AND(R30&lt;=7,R30&gt;3.5),1,IF(AND(R30&lt;=3.5,R30&gt;1.7),0.75,IF(AND(R30&lt;=1.7,R30&gt;0),0.5,IF(AND(R30&lt;=0,R30&gt;-1),0)))))))))))</f>
        <v>#N/A</v>
      </c>
      <c r="T30" s="61">
        <f>SUM('FU Distribution'!AI92:$AI$109)</f>
        <v>0</v>
      </c>
      <c r="U30" s="96" t="e">
        <f>FORECAST((SUM(T30:T1025)),INDEX($B$3:$B$45,MATCH((SUM(T30:T1025)),$A$3:$A$45,1)):INDEX($B$3:$B$45,MATCH((SUM(T30:T1025)),$A$3:$A$45,1)+1),INDEX($A$3:$A$45,MATCH((SUM(T30:T1025)),$A$3:$A$45,1)):INDEX($A$3:$A$45,MATCH((SUM(T30:T1025)),$A$3:$A$45,1)+1))</f>
        <v>#N/A</v>
      </c>
      <c r="V30" s="97" t="e">
        <f t="shared" si="0"/>
        <v>#N/A</v>
      </c>
      <c r="W30" s="75">
        <f>SUM('FU Distribution'!AK92:$AK$109)+IF('FU Distribution'!$D$112=4,'FU Distribution'!$D$114,0)</f>
        <v>0</v>
      </c>
      <c r="X30" s="96" t="e">
        <f>FORECAST((SUM(W30:W1025)),INDEX($B$3:$B$45,MATCH((SUM(W30:W1025)),$A$3:$A$45,1)):INDEX($B$3:$B$45,MATCH((SUM(W30:W1025)),$A$3:$A$45,1)+1),INDEX($A$3:$A$45,MATCH((SUM(W30:W1025)),$A$3:$A$45,1)):INDEX($A$3:$A$45,MATCH((SUM(W30:W1025)),$A$3:$A$45,1)+1))</f>
        <v>#N/A</v>
      </c>
      <c r="Y30" s="97" t="e">
        <f t="shared" si="1"/>
        <v>#N/A</v>
      </c>
      <c r="Z30" s="75">
        <f>SUM('FU Distribution'!AL92:$AL$109)</f>
        <v>0</v>
      </c>
      <c r="AA30" s="96" t="e">
        <f>FORECAST((SUM(Z30:Z1025)),INDEX($B$3:$B$45,MATCH((SUM(Z30:Z1025)),$A$3:$A$45,1)):INDEX($B$3:$B$45,MATCH((SUM(Z30:Z1025)),$A$3:$A$45,1)+1),INDEX($A$3:$A$45,MATCH((SUM(Z30:Z1025)),$A$3:$A$45,1)):INDEX($A$3:$A$45,MATCH((SUM(Z30:Z1025)),$A$3:$A$45,1)+1))</f>
        <v>#N/A</v>
      </c>
      <c r="AB30" s="97" t="e">
        <f t="shared" ref="AB30:AB31" si="98">IF(AND(AA30&lt;=750,AA30&gt;250),6,IF(AND(AA30&lt;=250,AA30&gt;120),4,IF(AND(AA30&lt;=120,AA30&gt;75),3,IF(AND(AA30&lt;=75,AA30&gt;40),2.5,IF(AND(AA30&lt;=40,AA30&gt;20),2,IF(AND(AA30&lt;=20,AA30&gt;14),1.5,IF(AND(AA30&lt;=14,AA30&gt;7),1.25,IF(AND(AA30&lt;=7,AA30&gt;3.5),1,IF(AND(AA30&lt;=3.5,AA30&gt;1.7),0.75,IF(AND(AA30&lt;=1.7,AA30&gt;0),0.5,IF(AND(AA30&lt;=0,AA30&gt;-1),0)))))))))))</f>
        <v>#N/A</v>
      </c>
      <c r="AC30" s="61">
        <f>SUM('FU Distribution'!AN92:$AN$109)+IF('FU Distribution'!$D$112=5,'FU Distribution'!$D$114,0)</f>
        <v>0</v>
      </c>
      <c r="AD30" s="96" t="e">
        <f>FORECAST((SUM(AC30:AC1025)),INDEX($B$3:$B$45,MATCH((SUM(AC30:AC1025)),$A$3:$A$45,1)):INDEX($B$3:$B$45,MATCH((SUM(AC30:AC1025)),$A$3:$A$45,1)+1),INDEX($A$3:$A$45,MATCH((SUM(AC30:AC1025)),$A$3:$A$45,1)):INDEX($A$3:$A$45,MATCH((SUM(AC30:AC1025)),$A$3:$A$45,1)+1))</f>
        <v>#N/A</v>
      </c>
      <c r="AE30" s="97" t="e">
        <f t="shared" ref="AE30:AE31" si="99">IF(AND(AD30&lt;=750,AD30&gt;250),6,IF(AND(AD30&lt;=250,AD30&gt;120),4,IF(AND(AD30&lt;=120,AD30&gt;75),3,IF(AND(AD30&lt;=75,AD30&gt;40),2.5,IF(AND(AD30&lt;=40,AD30&gt;20),2,IF(AND(AD30&lt;=20,AD30&gt;14),1.5,IF(AND(AD30&lt;=14,AD30&gt;7),1.25,IF(AND(AD30&lt;=7,AD30&gt;3.5),1,IF(AND(AD30&lt;=3.5,AD30&gt;1.7),0.75,IF(AND(AD30&lt;=1.7,AD30&gt;0),0.5,IF(AND(AD30&lt;=0,AD30&gt;-1),0)))))))))))</f>
        <v>#N/A</v>
      </c>
      <c r="AF30" s="61">
        <f>SUM('FU Distribution'!AO92:$AO$109)</f>
        <v>0</v>
      </c>
      <c r="AG30" s="96" t="e">
        <f>FORECAST((SUM(AF30:AF1025)),INDEX($B$3:$B$45,MATCH((SUM(AF30:AF1025)),$A$3:$A$45,1)):INDEX($B$3:$B$45,MATCH((SUM(AF30:AF1025)),$A$3:$A$45,1)+1),INDEX($A$3:$A$45,MATCH((SUM(AF30:AF1025)),$A$3:$A$45,1)):INDEX($A$3:$A$45,MATCH((SUM(AF30:AF1025)),$A$3:$A$45,1)+1))</f>
        <v>#N/A</v>
      </c>
      <c r="AH30" s="97" t="e">
        <f t="shared" ref="AH30:AH31" si="100">IF(AND(AG30&lt;=750,AG30&gt;250),6,IF(AND(AG30&lt;=250,AG30&gt;120),4,IF(AND(AG30&lt;=120,AG30&gt;75),3,IF(AND(AG30&lt;=75,AG30&gt;40),2.5,IF(AND(AG30&lt;=40,AG30&gt;20),2,IF(AND(AG30&lt;=20,AG30&gt;14),1.5,IF(AND(AG30&lt;=14,AG30&gt;7),1.25,IF(AND(AG30&lt;=7,AG30&gt;3.5),1,IF(AND(AG30&lt;=3.5,AG30&gt;1.7),0.75,IF(AND(AG30&lt;=1.7,AG30&gt;0),0.5,IF(AND(AG30&lt;=0,AG30&gt;-1),0)))))))))))</f>
        <v>#N/A</v>
      </c>
      <c r="AI30" s="75">
        <f>SUM('FU Distribution'!AQ92:$AQ$109)+IF('FU Distribution'!$D$112=6,'FU Distribution'!$D$114,0)</f>
        <v>0</v>
      </c>
      <c r="AJ30" s="96" t="e">
        <f>FORECAST((SUM(AI30:AI1025)),INDEX($B$3:$B$45,MATCH((SUM(AI30:AI1025)),$A$3:$A$45,1)):INDEX($B$3:$B$45,MATCH((SUM(AI30:AI1025)),$A$3:$A$45,1)+1),INDEX($A$3:$A$45,MATCH((SUM(AI30:AI1025)),$A$3:$A$45,1)):INDEX($A$3:$A$45,MATCH((SUM(AI30:AI1025)),$A$3:$A$45,1)+1))</f>
        <v>#N/A</v>
      </c>
      <c r="AK30" s="97" t="e">
        <f t="shared" ref="AK30:AK31" si="101">IF(AND(AJ30&lt;=750,AJ30&gt;250),6,IF(AND(AJ30&lt;=250,AJ30&gt;120),4,IF(AND(AJ30&lt;=120,AJ30&gt;75),3,IF(AND(AJ30&lt;=75,AJ30&gt;40),2.5,IF(AND(AJ30&lt;=40,AJ30&gt;20),2,IF(AND(AJ30&lt;=20,AJ30&gt;14),1.5,IF(AND(AJ30&lt;=14,AJ30&gt;7),1.25,IF(AND(AJ30&lt;=7,AJ30&gt;3.5),1,IF(AND(AJ30&lt;=3.5,AJ30&gt;1.7),0.75,IF(AND(AJ30&lt;=1.7,AJ30&gt;0),0.5,IF(AND(AJ30&lt;=0,AJ30&gt;-1),0)))))))))))</f>
        <v>#N/A</v>
      </c>
      <c r="AL30" s="75">
        <f>SUM('FU Distribution'!AR92:$AR$109)</f>
        <v>0</v>
      </c>
      <c r="AM30" s="96" t="e">
        <f>FORECAST((SUM(AL30:AL1025)),INDEX($B$3:$B$45,MATCH((SUM(AL30:AL1025)),$A$3:$A$45,1)):INDEX($B$3:$B$45,MATCH((SUM(AL30:AL1025)),$A$3:$A$45,1)+1),INDEX($A$3:$A$45,MATCH((SUM(AL30:AL1025)),$A$3:$A$45,1)):INDEX($A$3:$A$45,MATCH((SUM(AL30:AL1025)),$A$3:$A$45,1)+1))</f>
        <v>#N/A</v>
      </c>
      <c r="AN30" s="97" t="e">
        <f t="shared" ref="AN30:AN31" si="102">IF(AND(AM30&lt;=750,AM30&gt;250),6,IF(AND(AM30&lt;=250,AM30&gt;120),4,IF(AND(AM30&lt;=120,AM30&gt;75),3,IF(AND(AM30&lt;=75,AM30&gt;40),2.5,IF(AND(AM30&lt;=40,AM30&gt;20),2,IF(AND(AM30&lt;=20,AM30&gt;14),1.5,IF(AND(AM30&lt;=14,AM30&gt;7),1.25,IF(AND(AM30&lt;=7,AM30&gt;3.5),1,IF(AND(AM30&lt;=3.5,AM30&gt;1.7),0.75,IF(AND(AM30&lt;=1.7,AM30&gt;0),0.5,IF(AND(AM30&lt;=0,AM30&gt;-1),0)))))))))))</f>
        <v>#N/A</v>
      </c>
      <c r="AO30" s="61">
        <f>SUM('FU Distribution'!AT92:$AT$109)+IF('FU Distribution'!$D$112=7,'FU Distribution'!$D$114,0)</f>
        <v>0</v>
      </c>
      <c r="AP30" s="96" t="e">
        <f>FORECAST((SUM(AO30:AO1025)),INDEX($B$3:$B$45,MATCH((SUM(AO30:AO1025)),$A$3:$A$45,1)):INDEX($B$3:$B$45,MATCH((SUM(AO30:AO1025)),$A$3:$A$45,1)+1),INDEX($A$3:$A$45,MATCH((SUM(AO30:AO1025)),$A$3:$A$45,1)):INDEX($A$3:$A$45,MATCH((SUM(AO30:AO1025)),$A$3:$A$45,1)+1))</f>
        <v>#N/A</v>
      </c>
      <c r="AQ30" s="97" t="e">
        <f t="shared" ref="AQ30:AQ31" si="103">IF(AND(AP30&lt;=750,AP30&gt;250),6,IF(AND(AP30&lt;=250,AP30&gt;120),4,IF(AND(AP30&lt;=120,AP30&gt;75),3,IF(AND(AP30&lt;=75,AP30&gt;40),2.5,IF(AND(AP30&lt;=40,AP30&gt;20),2,IF(AND(AP30&lt;=20,AP30&gt;14),1.5,IF(AND(AP30&lt;=14,AP30&gt;7),1.25,IF(AND(AP30&lt;=7,AP30&gt;3.5),1,IF(AND(AP30&lt;=3.5,AP30&gt;1.7),0.75,IF(AND(AP30&lt;=1.7,AP30&gt;0),0.5,IF(AND(AP30&lt;=0,AP30&gt;-1),0)))))))))))</f>
        <v>#N/A</v>
      </c>
      <c r="AR30" s="61">
        <f>SUM('FU Distribution'!AU92:$AU$109)</f>
        <v>0</v>
      </c>
      <c r="AS30" s="96" t="e">
        <f>FORECAST((SUM(AR30:AR1025)),INDEX($B$3:$B$45,MATCH((SUM(AR30:AR1025)),$A$3:$A$45,1)):INDEX($B$3:$B$45,MATCH((SUM(AR30:AR1025)),$A$3:$A$45,1)+1),INDEX($A$3:$A$45,MATCH((SUM(AR30:AR1025)),$A$3:$A$45,1)):INDEX($A$3:$A$45,MATCH((SUM(AR30:AR1025)),$A$3:$A$45,1)+1))</f>
        <v>#N/A</v>
      </c>
      <c r="AT30" s="97" t="e">
        <f t="shared" ref="AT30:AT31" si="104">IF(AND(AS30&lt;=750,AS30&gt;250),6,IF(AND(AS30&lt;=250,AS30&gt;120),4,IF(AND(AS30&lt;=120,AS30&gt;75),3,IF(AND(AS30&lt;=75,AS30&gt;40),2.5,IF(AND(AS30&lt;=40,AS30&gt;20),2,IF(AND(AS30&lt;=20,AS30&gt;14),1.5,IF(AND(AS30&lt;=14,AS30&gt;7),1.25,IF(AND(AS30&lt;=7,AS30&gt;3.5),1,IF(AND(AS30&lt;=3.5,AS30&gt;1.7),0.75,IF(AND(AS30&lt;=1.7,AS30&gt;0),0.5,IF(AND(AS30&lt;=0,AS30&gt;-1),0)))))))))))</f>
        <v>#N/A</v>
      </c>
      <c r="AU30" s="61">
        <f>SUM('FU Distribution'!AW92:$AW$109)+IF('FU Distribution'!$D$112=8,'FU Distribution'!$D$114,0)</f>
        <v>0</v>
      </c>
      <c r="AV30" s="98" t="e">
        <f>FORECAST(AU30,INDEX($B$3:$B$45,MATCH(AU30,$A$3:$A$45,1)):INDEX($B$3:$B$45,MATCH(AU30,$A$3:$A$45,1)+1),INDEX($A$3:$A$45,MATCH(AU30,$A$3:$A$45,1)):INDEX($A$3:$A$45,MATCH(AU30,$A$3:$A$45,1)+1))</f>
        <v>#N/A</v>
      </c>
      <c r="AW30" s="97" t="e">
        <f t="shared" ref="AW30:AW31" si="105">IF(AND(AV30&lt;=750,AV30&gt;250),6,IF(AND(AV30&lt;=250,AV30&gt;120),4,IF(AND(AV30&lt;=120,AV30&gt;75),3,IF(AND(AV30&lt;=75,AV30&gt;40),2.5,IF(AND(AV30&lt;=40,AV30&gt;20),2,IF(AND(AV30&lt;=20,AV30&gt;14),1.5,IF(AND(AV30&lt;=14,AV30&gt;7),1.25,IF(AND(AV30&lt;=7,AV30&gt;3.5),1,IF(AND(AV30&lt;=3.5,AV30&gt;1.7),0.75,IF(AND(AV30&lt;=1.7,AV30&gt;0),0.5,IF(AND(AV30&lt;=0,AV30&gt;-1),0)))))))))))</f>
        <v>#N/A</v>
      </c>
      <c r="AX30" s="61">
        <f>SUM('FU Distribution'!AX92:$AX$109)</f>
        <v>0</v>
      </c>
      <c r="AY30" s="98" t="e">
        <f>FORECAST(AX30,INDEX($B$3:$B$45,MATCH(AX30,$A$3:$A$45,1)):INDEX($B$3:$B$45,MATCH(AX30,$A$3:$A$45,1)+1),INDEX($A$3:$A$45,MATCH(AX30,$A$3:$A$45,1)):INDEX($A$3:$A$45,MATCH(AX30,$A$3:$A$45,1)+1))</f>
        <v>#N/A</v>
      </c>
      <c r="AZ30" s="97" t="e">
        <f t="shared" ref="AZ30:AZ31" si="106">IF(AND(AY30&lt;=750,AY30&gt;250),6,IF(AND(AY30&lt;=250,AY30&gt;120),4,IF(AND(AY30&lt;=120,AY30&gt;75),3,IF(AND(AY30&lt;=75,AY30&gt;40),2.5,IF(AND(AY30&lt;=40,AY30&gt;20),2,IF(AND(AY30&lt;=20,AY30&gt;14),1.5,IF(AND(AY30&lt;=14,AY30&gt;7),1.25,IF(AND(AY30&lt;=7,AY30&gt;3.5),1,IF(AND(AY30&lt;=3.5,AY30&gt;1.7),0.75,IF(AND(AY30&lt;=1.7,AY30&gt;0),0.5,IF(AND(AY30&lt;=0,AY30&gt;-1),0)))))))))))</f>
        <v>#N/A</v>
      </c>
      <c r="BA30" s="75">
        <f>SUM('FU Distribution'!AZ92:$AZ$109)+IF('FU Distribution'!$D$112=9,'FU Distribution'!$D$114,0)</f>
        <v>0</v>
      </c>
      <c r="BB30" s="76" t="e">
        <f>FORECAST((SUM(BA30:BA1025)),INDEX($B$3:$B$45,MATCH((SUM(BA30:BA1025)),$A$3:$A$45,1)):INDEX($B$3:$B$45,MATCH((SUM(BA30:BA1025)),$A$3:$A$45,1)+1),INDEX($A$3:$A$45,MATCH((SUM(BA30:BA1025)),$A$3:$A$45,1)):INDEX($A$3:$A$45,MATCH((SUM(BA30:BA1025)),$A$3:$A$45,1)+1))</f>
        <v>#N/A</v>
      </c>
      <c r="BC30" s="77" t="e">
        <f t="shared" si="3"/>
        <v>#N/A</v>
      </c>
      <c r="BD30" s="75">
        <f>SUM('FU Distribution'!BA92:$BA$109)</f>
        <v>0</v>
      </c>
      <c r="BE30" s="76" t="e">
        <f>FORECAST((SUM(BD30:BD1025)),INDEX($B$3:$B$45,MATCH((SUM(BD30:BD1025)),$A$3:$A$45,1)):INDEX($B$3:$B$45,MATCH((SUM(BD30:BD1025)),$A$3:$A$45,1)+1),INDEX($A$3:$A$45,MATCH((SUM(BD30:BD1025)),$A$3:$A$45,1)):INDEX($A$3:$A$45,MATCH((SUM(BD30:BD1025)),$A$3:$A$45,1)+1))</f>
        <v>#N/A</v>
      </c>
      <c r="BF30" s="77" t="e">
        <f t="shared" si="4"/>
        <v>#N/A</v>
      </c>
      <c r="BG30" s="61">
        <f>SUM('FU Distribution'!BC92:$BC$109)+IF('FU Distribution'!$D$112=10,'FU Distribution'!$D$114,0)</f>
        <v>0</v>
      </c>
      <c r="BH30" s="62" t="e">
        <f>FORECAST((SUM(BG30:BG1025)),INDEX($B$3:$B$45,MATCH((SUM(BG30:BG1025)),$A$3:$A$45,1)):INDEX($B$3:$B$45,MATCH((SUM(BG30:BG1025)),$A$3:$A$45,1)+1),INDEX($A$3:$A$45,MATCH((SUM(BG30:BG1025)),$A$3:$A$45,1)):INDEX($A$3:$A$45,MATCH((SUM(BG30:BG1025)),$A$3:$A$45,1)+1))</f>
        <v>#N/A</v>
      </c>
      <c r="BI30" s="74" t="e">
        <f t="shared" si="5"/>
        <v>#N/A</v>
      </c>
      <c r="BJ30" s="61">
        <f>SUM('FU Distribution'!BD92:$BD$109)</f>
        <v>0</v>
      </c>
      <c r="BK30" s="62" t="e">
        <f>FORECAST((SUM(BJ30:BJ1025)),INDEX($B$3:$B$45,MATCH((SUM(BJ30:BJ1025)),$A$3:$A$45,1)):INDEX($B$3:$B$45,MATCH((SUM(BJ30:BJ1025)),$A$3:$A$45,1)+1),INDEX($A$3:$A$45,MATCH((SUM(BJ30:BJ1025)),$A$3:$A$45,1)):INDEX($A$3:$A$45,MATCH((SUM(BJ30:BJ1025)),$A$3:$A$45,1)+1))</f>
        <v>#N/A</v>
      </c>
      <c r="BL30" s="74" t="e">
        <f t="shared" si="6"/>
        <v>#N/A</v>
      </c>
      <c r="BM30" s="75">
        <f>SUM('FU Distribution'!BF92:$BF$109)+IF('FU Distribution'!$D$112=11,'FU Distribution'!$D$114,0)</f>
        <v>0</v>
      </c>
      <c r="BN30" s="76" t="e">
        <f>FORECAST((SUM(BM30:BM1025)),INDEX($B$3:$B$45,MATCH((SUM(BM30:BM1025)),$A$3:$A$45,1)):INDEX($B$3:$B$45,MATCH((SUM(BM30:BM1025)),$A$3:$A$45,1)+1),INDEX($A$3:$A$45,MATCH((SUM(BM30:BM1025)),$A$3:$A$45,1)):INDEX($A$3:$A$45,MATCH((SUM(BM30:BM1025)),$A$3:$A$45,1)+1))</f>
        <v>#N/A</v>
      </c>
      <c r="BO30" s="77" t="e">
        <f t="shared" si="7"/>
        <v>#N/A</v>
      </c>
      <c r="BP30" s="75">
        <f>SUM('FU Distribution'!BG92:$BG$109)</f>
        <v>0</v>
      </c>
      <c r="BQ30" s="76" t="e">
        <f>FORECAST((SUM(BP30:BP1025)),INDEX($B$3:$B$45,MATCH((SUM(BP30:BP1025)),$A$3:$A$45,1)):INDEX($B$3:$B$45,MATCH((SUM(BP30:BP1025)),$A$3:$A$45,1)+1),INDEX($A$3:$A$45,MATCH((SUM(BP30:BP1025)),$A$3:$A$45,1)):INDEX($A$3:$A$45,MATCH((SUM(BP30:BP1025)),$A$3:$A$45,1)+1))</f>
        <v>#N/A</v>
      </c>
      <c r="BR30" s="77" t="e">
        <f t="shared" si="8"/>
        <v>#N/A</v>
      </c>
      <c r="BS30" s="61">
        <f>SUM('FU Distribution'!BI92:$BI$109)+IF('FU Distribution'!$D$112=12,'FU Distribution'!$D$114,0)</f>
        <v>0</v>
      </c>
      <c r="BT30" s="62" t="e">
        <f>FORECAST(BS30,INDEX($B$3:$B$45,MATCH(BS30,$A$3:$A$45,1)):INDEX($B$3:$B$45,MATCH(BS30,$A$3:$A$45,1)+1),INDEX($A$3:$A$45,MATCH(BS30,$A$3:$A$45,1)):INDEX($A$3:$A$45,MATCH(BS30,$A$3:$A$45,1)+1))</f>
        <v>#N/A</v>
      </c>
      <c r="BU30" s="74" t="e">
        <f t="shared" si="9"/>
        <v>#N/A</v>
      </c>
      <c r="BV30" s="61">
        <f>SUM('FU Distribution'!BJ92:$BJ$109)</f>
        <v>0</v>
      </c>
      <c r="BW30" s="62" t="e">
        <f>FORECAST(BV30,INDEX($B$3:$B$45,MATCH(BV30,$A$3:$A$45,1)):INDEX($B$3:$B$45,MATCH(BV30,$A$3:$A$45,1)+1),INDEX($A$3:$A$45,MATCH(BV30,$A$3:$A$45,1)):INDEX($A$3:$A$45,MATCH(BV30,$A$3:$A$45,1)+1))</f>
        <v>#N/A</v>
      </c>
      <c r="BX30" s="74" t="e">
        <f t="shared" si="10"/>
        <v>#N/A</v>
      </c>
      <c r="BY30" s="75">
        <f>SUM('FU Distribution'!BL92:$BL$109)+IF('FU Distribution'!$D$112=13,'FU Distribution'!$D$114,0)</f>
        <v>0</v>
      </c>
      <c r="BZ30" s="76" t="e">
        <f>FORECAST(BY30,INDEX($B$3:$B$45,MATCH(BY30,$A$3:$A$45,1)):INDEX($B$3:$B$45,MATCH(BY30,$A$3:$A$45,1)+1),INDEX($A$3:$A$45,MATCH(BY30,$A$3:$A$45,1)):INDEX($A$3:$A$45,MATCH(BY30,$A$3:$A$45,1)+1))</f>
        <v>#N/A</v>
      </c>
      <c r="CA30" s="77" t="e">
        <f t="shared" si="11"/>
        <v>#N/A</v>
      </c>
      <c r="CB30" s="75">
        <f>SUM('FU Distribution'!BM92:$BM$109)</f>
        <v>0</v>
      </c>
      <c r="CC30" s="76" t="e">
        <f>FORECAST(CB30,INDEX($B$3:$B$45,MATCH(CB30,$A$3:$A$45,1)):INDEX($B$3:$B$45,MATCH(CB30,$A$3:$A$45,1)+1),INDEX($A$3:$A$45,MATCH(CB30,$A$3:$A$45,1)):INDEX($A$3:$A$45,MATCH(CB30,$A$3:$A$45,1)+1))</f>
        <v>#N/A</v>
      </c>
      <c r="CD30" s="77" t="e">
        <f t="shared" si="12"/>
        <v>#N/A</v>
      </c>
      <c r="CE30" s="61">
        <f>SUM('FU Distribution'!BO92:$BO$109)+IF('FU Distribution'!$D$112=13,'FU Distribution'!$D$114,0)</f>
        <v>0</v>
      </c>
      <c r="CF30" s="62" t="e">
        <f>FORECAST(CE30,INDEX($B$3:$B$45,MATCH(CE30,$A$3:$A$45,1)):INDEX($B$3:$B$45,MATCH(CE30,$A$3:$A$45,1)+1),INDEX($A$3:$A$45,MATCH(CE30,$A$3:$A$45,1)):INDEX($A$3:$A$45,MATCH(CE30,$A$3:$A$45,1)+1))</f>
        <v>#N/A</v>
      </c>
      <c r="CG30" s="74" t="e">
        <f t="shared" si="13"/>
        <v>#N/A</v>
      </c>
      <c r="CH30" s="61">
        <f>SUM('FU Distribution'!BP92:$BP$109)</f>
        <v>0</v>
      </c>
      <c r="CI30" s="62" t="e">
        <f>FORECAST(CH30,INDEX($B$3:$B$45,MATCH(CH30,$A$3:$A$45,1)):INDEX($B$3:$B$45,MATCH(CH30,$A$3:$A$45,1)+1),INDEX($A$3:$A$45,MATCH(CH30,$A$3:$A$45,1)):INDEX($A$3:$A$45,MATCH(CH30,$A$3:$A$45,1)+1))</f>
        <v>#N/A</v>
      </c>
      <c r="CJ30" s="74" t="e">
        <f t="shared" si="14"/>
        <v>#N/A</v>
      </c>
    </row>
    <row r="31" spans="1:88" x14ac:dyDescent="0.25">
      <c r="A31" s="2">
        <v>400</v>
      </c>
      <c r="B31" s="2">
        <v>110</v>
      </c>
      <c r="C31" s="63"/>
      <c r="D31" s="52">
        <v>27</v>
      </c>
      <c r="E31" s="61">
        <f>SUM('FU Distribution'!AB93:$AB$109)+IF('FU Distribution'!$D$112=1,'FU Distribution'!$D$114,0)</f>
        <v>0</v>
      </c>
      <c r="F31" s="98" t="e">
        <f>FORECAST((SUM(E31:E1025)),INDEX($B$3:$B$45,MATCH((SUM(E31:E1025)),$A$3:$A$45,1)):INDEX($B$3:$B$45,MATCH((SUM(E31:E1025)),$A$3:$A$45,1)+1),INDEX($A$3:$A$45,MATCH((SUM(E31:E1025)),$A$3:$A$45,1)):INDEX($A$3:$A$45,MATCH((SUM(E31:E1025)),$A$3:$A$45,1)+1))</f>
        <v>#N/A</v>
      </c>
      <c r="G31" s="99" t="e">
        <f t="shared" si="93"/>
        <v>#N/A</v>
      </c>
      <c r="H31" s="61">
        <f>SUM('FU Distribution'!AC93:$AC$109)</f>
        <v>0</v>
      </c>
      <c r="I31" s="98" t="e">
        <f>FORECAST((SUM(H31:H1026)),INDEX($B$3:$B$45,MATCH((SUM(H31:H1026)),$A$3:$A$45,1)):INDEX($B$3:$B$45,MATCH((SUM(H31:H1026)),$A$3:$A$45,1)+1),INDEX($A$3:$A$45,MATCH((SUM(H31:H1026)),$A$3:$A$45,1)):INDEX($A$3:$A$45,MATCH((SUM(H31:H1026)),$A$3:$A$45,1)+1))</f>
        <v>#N/A</v>
      </c>
      <c r="J31" s="99" t="e">
        <f t="shared" si="94"/>
        <v>#N/A</v>
      </c>
      <c r="K31" s="75">
        <f>SUM('FU Distribution'!AE93:$AE$109)+IF('FU Distribution'!$D$112=2,'FU Distribution'!$D$114,0)</f>
        <v>0</v>
      </c>
      <c r="L31" s="100" t="e">
        <f>FORECAST((SUM(K31:K1026)),INDEX($B$3:$B$45,MATCH((SUM(K31:K1026)),$A$3:$A$45,1)):INDEX($B$3:$B$45,MATCH((SUM(K31:K1026)),$A$3:$A$45,1)+1),INDEX($A$3:$A$45,MATCH((SUM(K31:K1026)),$A$3:$A$45,1)):INDEX($A$3:$A$45,MATCH((SUM(K31:K1026)),$A$3:$A$45,1)+1))</f>
        <v>#N/A</v>
      </c>
      <c r="M31" s="101" t="e">
        <f t="shared" si="95"/>
        <v>#N/A</v>
      </c>
      <c r="N31" s="75">
        <f>SUM('FU Distribution'!AF93:$AF$109)</f>
        <v>0</v>
      </c>
      <c r="O31" s="100" t="e">
        <f>FORECAST((SUM(N31:N1026)),INDEX($B$3:$B$45,MATCH((SUM(N31:N1026)),$A$3:$A$45,1)):INDEX($B$3:$B$45,MATCH((SUM(N31:N1026)),$A$3:$A$45,1)+1),INDEX($A$3:$A$45,MATCH((SUM(N31:N1026)),$A$3:$A$45,1)):INDEX($A$3:$A$45,MATCH((SUM(N31:N1026)),$A$3:$A$45,1)+1))</f>
        <v>#N/A</v>
      </c>
      <c r="P31" s="101" t="e">
        <f t="shared" si="96"/>
        <v>#N/A</v>
      </c>
      <c r="Q31" s="61">
        <f>SUM('FU Distribution'!AH93:$AH$109)+IF('FU Distribution'!$D$112=3,'FU Distribution'!$D$114,0)</f>
        <v>0</v>
      </c>
      <c r="R31" s="98" t="e">
        <f>FORECAST((SUM(Q31:Q1026)),INDEX($B$3:$B$45,MATCH((SUM(Q31:Q1026)),$A$3:$A$45,1)):INDEX($B$3:$B$45,MATCH((SUM(Q31:Q1026)),$A$3:$A$45,1)+1),INDEX($A$3:$A$45,MATCH((SUM(Q31:Q1026)),$A$3:$A$45,1)):INDEX($A$3:$A$45,MATCH((SUM(Q31:Q1026)),$A$3:$A$45,1)+1))</f>
        <v>#N/A</v>
      </c>
      <c r="S31" s="99" t="e">
        <f t="shared" si="97"/>
        <v>#N/A</v>
      </c>
      <c r="T31" s="61">
        <f>SUM('FU Distribution'!AI93:$AI$109)</f>
        <v>0</v>
      </c>
      <c r="U31" s="98" t="e">
        <f>FORECAST((SUM(T31:T1026)),INDEX($B$3:$B$45,MATCH((SUM(T31:T1026)),$A$3:$A$45,1)):INDEX($B$3:$B$45,MATCH((SUM(T31:T1026)),$A$3:$A$45,1)+1),INDEX($A$3:$A$45,MATCH((SUM(T31:T1026)),$A$3:$A$45,1)):INDEX($A$3:$A$45,MATCH((SUM(T31:T1026)),$A$3:$A$45,1)+1))</f>
        <v>#N/A</v>
      </c>
      <c r="V31" s="99" t="e">
        <f t="shared" si="0"/>
        <v>#N/A</v>
      </c>
      <c r="W31" s="75">
        <f>SUM('FU Distribution'!AK93:$AK$109)+IF('FU Distribution'!$D$112=4,'FU Distribution'!$D$114,0)</f>
        <v>0</v>
      </c>
      <c r="X31" s="100" t="e">
        <f>FORECAST((SUM(W31:W1026)),INDEX($B$3:$B$45,MATCH((SUM(W31:W1026)),$A$3:$A$45,1)):INDEX($B$3:$B$45,MATCH((SUM(W31:W1026)),$A$3:$A$45,1)+1),INDEX($A$3:$A$45,MATCH((SUM(W31:W1026)),$A$3:$A$45,1)):INDEX($A$3:$A$45,MATCH((SUM(W31:W1026)),$A$3:$A$45,1)+1))</f>
        <v>#N/A</v>
      </c>
      <c r="Y31" s="101" t="e">
        <f t="shared" si="1"/>
        <v>#N/A</v>
      </c>
      <c r="Z31" s="75">
        <f>SUM('FU Distribution'!AL93:$AL$109)</f>
        <v>0</v>
      </c>
      <c r="AA31" s="100" t="e">
        <f>FORECAST((SUM(Z31:Z1026)),INDEX($B$3:$B$45,MATCH((SUM(Z31:Z1026)),$A$3:$A$45,1)):INDEX($B$3:$B$45,MATCH((SUM(Z31:Z1026)),$A$3:$A$45,1)+1),INDEX($A$3:$A$45,MATCH((SUM(Z31:Z1026)),$A$3:$A$45,1)):INDEX($A$3:$A$45,MATCH((SUM(Z31:Z1026)),$A$3:$A$45,1)+1))</f>
        <v>#N/A</v>
      </c>
      <c r="AB31" s="101" t="e">
        <f t="shared" si="98"/>
        <v>#N/A</v>
      </c>
      <c r="AC31" s="61">
        <f>SUM('FU Distribution'!AN93:$AN$109)+IF('FU Distribution'!$D$112=5,'FU Distribution'!$D$114,0)</f>
        <v>0</v>
      </c>
      <c r="AD31" s="98" t="e">
        <f>FORECAST((SUM(AC31:AC1026)),INDEX($B$3:$B$45,MATCH((SUM(AC31:AC1026)),$A$3:$A$45,1)):INDEX($B$3:$B$45,MATCH((SUM(AC31:AC1026)),$A$3:$A$45,1)+1),INDEX($A$3:$A$45,MATCH((SUM(AC31:AC1026)),$A$3:$A$45,1)):INDEX($A$3:$A$45,MATCH((SUM(AC31:AC1026)),$A$3:$A$45,1)+1))</f>
        <v>#N/A</v>
      </c>
      <c r="AE31" s="99" t="e">
        <f t="shared" si="99"/>
        <v>#N/A</v>
      </c>
      <c r="AF31" s="61">
        <f>SUM('FU Distribution'!AO93:$AO$109)</f>
        <v>0</v>
      </c>
      <c r="AG31" s="98" t="e">
        <f>FORECAST((SUM(AF31:AF1026)),INDEX($B$3:$B$45,MATCH((SUM(AF31:AF1026)),$A$3:$A$45,1)):INDEX($B$3:$B$45,MATCH((SUM(AF31:AF1026)),$A$3:$A$45,1)+1),INDEX($A$3:$A$45,MATCH((SUM(AF31:AF1026)),$A$3:$A$45,1)):INDEX($A$3:$A$45,MATCH((SUM(AF31:AF1026)),$A$3:$A$45,1)+1))</f>
        <v>#N/A</v>
      </c>
      <c r="AH31" s="99" t="e">
        <f t="shared" si="100"/>
        <v>#N/A</v>
      </c>
      <c r="AI31" s="75">
        <f>SUM('FU Distribution'!AQ93:$AQ$109)+IF('FU Distribution'!$D$112=6,'FU Distribution'!$D$114,0)</f>
        <v>0</v>
      </c>
      <c r="AJ31" s="100" t="e">
        <f>FORECAST((SUM(AI31:AI1026)),INDEX($B$3:$B$45,MATCH((SUM(AI31:AI1026)),$A$3:$A$45,1)):INDEX($B$3:$B$45,MATCH((SUM(AI31:AI1026)),$A$3:$A$45,1)+1),INDEX($A$3:$A$45,MATCH((SUM(AI31:AI1026)),$A$3:$A$45,1)):INDEX($A$3:$A$45,MATCH((SUM(AI31:AI1026)),$A$3:$A$45,1)+1))</f>
        <v>#N/A</v>
      </c>
      <c r="AK31" s="101" t="e">
        <f t="shared" si="101"/>
        <v>#N/A</v>
      </c>
      <c r="AL31" s="75">
        <f>SUM('FU Distribution'!AR93:$AR$109)</f>
        <v>0</v>
      </c>
      <c r="AM31" s="100" t="e">
        <f>FORECAST((SUM(AL31:AL1026)),INDEX($B$3:$B$45,MATCH((SUM(AL31:AL1026)),$A$3:$A$45,1)):INDEX($B$3:$B$45,MATCH((SUM(AL31:AL1026)),$A$3:$A$45,1)+1),INDEX($A$3:$A$45,MATCH((SUM(AL31:AL1026)),$A$3:$A$45,1)):INDEX($A$3:$A$45,MATCH((SUM(AL31:AL1026)),$A$3:$A$45,1)+1))</f>
        <v>#N/A</v>
      </c>
      <c r="AN31" s="101" t="e">
        <f t="shared" si="102"/>
        <v>#N/A</v>
      </c>
      <c r="AO31" s="61">
        <f>SUM('FU Distribution'!AT93:$AT$109)+IF('FU Distribution'!$D$112=7,'FU Distribution'!$D$114,0)</f>
        <v>0</v>
      </c>
      <c r="AP31" s="98" t="e">
        <f>FORECAST((SUM(AO31:AO1026)),INDEX($B$3:$B$45,MATCH((SUM(AO31:AO1026)),$A$3:$A$45,1)):INDEX($B$3:$B$45,MATCH((SUM(AO31:AO1026)),$A$3:$A$45,1)+1),INDEX($A$3:$A$45,MATCH((SUM(AO31:AO1026)),$A$3:$A$45,1)):INDEX($A$3:$A$45,MATCH((SUM(AO31:AO1026)),$A$3:$A$45,1)+1))</f>
        <v>#N/A</v>
      </c>
      <c r="AQ31" s="99" t="e">
        <f t="shared" si="103"/>
        <v>#N/A</v>
      </c>
      <c r="AR31" s="61">
        <f>SUM('FU Distribution'!AU93:$AU$109)</f>
        <v>0</v>
      </c>
      <c r="AS31" s="98" t="e">
        <f>FORECAST((SUM(AR31:AR1026)),INDEX($B$3:$B$45,MATCH((SUM(AR31:AR1026)),$A$3:$A$45,1)):INDEX($B$3:$B$45,MATCH((SUM(AR31:AR1026)),$A$3:$A$45,1)+1),INDEX($A$3:$A$45,MATCH((SUM(AR31:AR1026)),$A$3:$A$45,1)):INDEX($A$3:$A$45,MATCH((SUM(AR31:AR1026)),$A$3:$A$45,1)+1))</f>
        <v>#N/A</v>
      </c>
      <c r="AT31" s="99" t="e">
        <f t="shared" si="104"/>
        <v>#N/A</v>
      </c>
      <c r="AU31" s="61">
        <f>SUM('FU Distribution'!AW93:$AW$109)+IF('FU Distribution'!$D$112=8,'FU Distribution'!$D$114,0)</f>
        <v>0</v>
      </c>
      <c r="AV31" s="98" t="e">
        <f>FORECAST(AU31,INDEX($B$3:$B$45,MATCH(AU31,$A$3:$A$45,1)):INDEX($B$3:$B$45,MATCH(AU31,$A$3:$A$45,1)+1),INDEX($A$3:$A$45,MATCH(AU31,$A$3:$A$45,1)):INDEX($A$3:$A$45,MATCH(AU31,$A$3:$A$45,1)+1))</f>
        <v>#N/A</v>
      </c>
      <c r="AW31" s="99" t="e">
        <f t="shared" si="105"/>
        <v>#N/A</v>
      </c>
      <c r="AX31" s="61">
        <f>SUM('FU Distribution'!AX93:$AX$109)</f>
        <v>0</v>
      </c>
      <c r="AY31" s="98" t="e">
        <f>FORECAST(AX31,INDEX($B$3:$B$45,MATCH(AX31,$A$3:$A$45,1)):INDEX($B$3:$B$45,MATCH(AX31,$A$3:$A$45,1)+1),INDEX($A$3:$A$45,MATCH(AX31,$A$3:$A$45,1)):INDEX($A$3:$A$45,MATCH(AX31,$A$3:$A$45,1)+1))</f>
        <v>#N/A</v>
      </c>
      <c r="AZ31" s="99" t="e">
        <f t="shared" si="106"/>
        <v>#N/A</v>
      </c>
      <c r="BA31" s="75">
        <f>SUM('FU Distribution'!AZ93:$AZ$109)+IF('FU Distribution'!$D$112=9,'FU Distribution'!$D$114,0)</f>
        <v>0</v>
      </c>
      <c r="BB31" s="76" t="e">
        <f>FORECAST((SUM(BA31:BA1026)),INDEX($B$3:$B$45,MATCH((SUM(BA31:BA1026)),$A$3:$A$45,1)):INDEX($B$3:$B$45,MATCH((SUM(BA31:BA1026)),$A$3:$A$45,1)+1),INDEX($A$3:$A$45,MATCH((SUM(BA31:BA1026)),$A$3:$A$45,1)):INDEX($A$3:$A$45,MATCH((SUM(BA31:BA1026)),$A$3:$A$45,1)+1))</f>
        <v>#N/A</v>
      </c>
      <c r="BC31" s="77" t="e">
        <f t="shared" si="3"/>
        <v>#N/A</v>
      </c>
      <c r="BD31" s="75">
        <f>SUM('FU Distribution'!BA93:$BA$109)</f>
        <v>0</v>
      </c>
      <c r="BE31" s="76" t="e">
        <f>FORECAST((SUM(BD31:BD1026)),INDEX($B$3:$B$45,MATCH((SUM(BD31:BD1026)),$A$3:$A$45,1)):INDEX($B$3:$B$45,MATCH((SUM(BD31:BD1026)),$A$3:$A$45,1)+1),INDEX($A$3:$A$45,MATCH((SUM(BD31:BD1026)),$A$3:$A$45,1)):INDEX($A$3:$A$45,MATCH((SUM(BD31:BD1026)),$A$3:$A$45,1)+1))</f>
        <v>#N/A</v>
      </c>
      <c r="BF31" s="77" t="e">
        <f t="shared" si="4"/>
        <v>#N/A</v>
      </c>
      <c r="BG31" s="61">
        <f>SUM('FU Distribution'!BC93:$BC$109)+IF('FU Distribution'!$D$112=10,'FU Distribution'!$D$114,0)</f>
        <v>0</v>
      </c>
      <c r="BH31" s="62" t="e">
        <f>FORECAST((SUM(BG31:BG1026)),INDEX($B$3:$B$45,MATCH((SUM(BG31:BG1026)),$A$3:$A$45,1)):INDEX($B$3:$B$45,MATCH((SUM(BG31:BG1026)),$A$3:$A$45,1)+1),INDEX($A$3:$A$45,MATCH((SUM(BG31:BG1026)),$A$3:$A$45,1)):INDEX($A$3:$A$45,MATCH((SUM(BG31:BG1026)),$A$3:$A$45,1)+1))</f>
        <v>#N/A</v>
      </c>
      <c r="BI31" s="74" t="e">
        <f t="shared" si="5"/>
        <v>#N/A</v>
      </c>
      <c r="BJ31" s="61">
        <f>SUM('FU Distribution'!BD93:$BD$109)</f>
        <v>0</v>
      </c>
      <c r="BK31" s="62" t="e">
        <f>FORECAST((SUM(BJ31:BJ1026)),INDEX($B$3:$B$45,MATCH((SUM(BJ31:BJ1026)),$A$3:$A$45,1)):INDEX($B$3:$B$45,MATCH((SUM(BJ31:BJ1026)),$A$3:$A$45,1)+1),INDEX($A$3:$A$45,MATCH((SUM(BJ31:BJ1026)),$A$3:$A$45,1)):INDEX($A$3:$A$45,MATCH((SUM(BJ31:BJ1026)),$A$3:$A$45,1)+1))</f>
        <v>#N/A</v>
      </c>
      <c r="BL31" s="74" t="e">
        <f t="shared" si="6"/>
        <v>#N/A</v>
      </c>
      <c r="BM31" s="75">
        <f>SUM('FU Distribution'!BF93:$BF$109)+IF('FU Distribution'!$D$112=11,'FU Distribution'!$D$114,0)</f>
        <v>0</v>
      </c>
      <c r="BN31" s="76" t="e">
        <f>FORECAST((SUM(BM31:BM1026)),INDEX($B$3:$B$45,MATCH((SUM(BM31:BM1026)),$A$3:$A$45,1)):INDEX($B$3:$B$45,MATCH((SUM(BM31:BM1026)),$A$3:$A$45,1)+1),INDEX($A$3:$A$45,MATCH((SUM(BM31:BM1026)),$A$3:$A$45,1)):INDEX($A$3:$A$45,MATCH((SUM(BM31:BM1026)),$A$3:$A$45,1)+1))</f>
        <v>#N/A</v>
      </c>
      <c r="BO31" s="77" t="e">
        <f t="shared" si="7"/>
        <v>#N/A</v>
      </c>
      <c r="BP31" s="75">
        <f>SUM('FU Distribution'!BG93:$BG$109)</f>
        <v>0</v>
      </c>
      <c r="BQ31" s="76" t="e">
        <f>FORECAST((SUM(BP31:BP1026)),INDEX($B$3:$B$45,MATCH((SUM(BP31:BP1026)),$A$3:$A$45,1)):INDEX($B$3:$B$45,MATCH((SUM(BP31:BP1026)),$A$3:$A$45,1)+1),INDEX($A$3:$A$45,MATCH((SUM(BP31:BP1026)),$A$3:$A$45,1)):INDEX($A$3:$A$45,MATCH((SUM(BP31:BP1026)),$A$3:$A$45,1)+1))</f>
        <v>#N/A</v>
      </c>
      <c r="BR31" s="77" t="e">
        <f t="shared" si="8"/>
        <v>#N/A</v>
      </c>
      <c r="BS31" s="61">
        <f>SUM('FU Distribution'!BI93:$BI$109)+IF('FU Distribution'!$D$112=12,'FU Distribution'!$D$114,0)</f>
        <v>0</v>
      </c>
      <c r="BT31" s="62" t="e">
        <f>FORECAST(BS31,INDEX($B$3:$B$45,MATCH(BS31,$A$3:$A$45,1)):INDEX($B$3:$B$45,MATCH(BS31,$A$3:$A$45,1)+1),INDEX($A$3:$A$45,MATCH(BS31,$A$3:$A$45,1)):INDEX($A$3:$A$45,MATCH(BS31,$A$3:$A$45,1)+1))</f>
        <v>#N/A</v>
      </c>
      <c r="BU31" s="74" t="e">
        <f t="shared" si="9"/>
        <v>#N/A</v>
      </c>
      <c r="BV31" s="61">
        <f>SUM('FU Distribution'!BJ93:$BJ$109)</f>
        <v>0</v>
      </c>
      <c r="BW31" s="62" t="e">
        <f>FORECAST(BV31,INDEX($B$3:$B$45,MATCH(BV31,$A$3:$A$45,1)):INDEX($B$3:$B$45,MATCH(BV31,$A$3:$A$45,1)+1),INDEX($A$3:$A$45,MATCH(BV31,$A$3:$A$45,1)):INDEX($A$3:$A$45,MATCH(BV31,$A$3:$A$45,1)+1))</f>
        <v>#N/A</v>
      </c>
      <c r="BX31" s="74" t="e">
        <f t="shared" si="10"/>
        <v>#N/A</v>
      </c>
      <c r="BY31" s="75">
        <f>SUM('FU Distribution'!BL93:$BL$109)+IF('FU Distribution'!$D$112=13,'FU Distribution'!$D$114,0)</f>
        <v>0</v>
      </c>
      <c r="BZ31" s="76" t="e">
        <f>FORECAST(BY31,INDEX($B$3:$B$45,MATCH(BY31,$A$3:$A$45,1)):INDEX($B$3:$B$45,MATCH(BY31,$A$3:$A$45,1)+1),INDEX($A$3:$A$45,MATCH(BY31,$A$3:$A$45,1)):INDEX($A$3:$A$45,MATCH(BY31,$A$3:$A$45,1)+1))</f>
        <v>#N/A</v>
      </c>
      <c r="CA31" s="77" t="e">
        <f t="shared" si="11"/>
        <v>#N/A</v>
      </c>
      <c r="CB31" s="75">
        <f>SUM('FU Distribution'!BM93:$BM$109)</f>
        <v>0</v>
      </c>
      <c r="CC31" s="76" t="e">
        <f>FORECAST(CB31,INDEX($B$3:$B$45,MATCH(CB31,$A$3:$A$45,1)):INDEX($B$3:$B$45,MATCH(CB31,$A$3:$A$45,1)+1),INDEX($A$3:$A$45,MATCH(CB31,$A$3:$A$45,1)):INDEX($A$3:$A$45,MATCH(CB31,$A$3:$A$45,1)+1))</f>
        <v>#N/A</v>
      </c>
      <c r="CD31" s="77" t="e">
        <f t="shared" si="12"/>
        <v>#N/A</v>
      </c>
      <c r="CE31" s="61">
        <f>SUM('FU Distribution'!BO93:$BO$109)+IF('FU Distribution'!$D$112=13,'FU Distribution'!$D$114,0)</f>
        <v>0</v>
      </c>
      <c r="CF31" s="62" t="e">
        <f>FORECAST(CE31,INDEX($B$3:$B$45,MATCH(CE31,$A$3:$A$45,1)):INDEX($B$3:$B$45,MATCH(CE31,$A$3:$A$45,1)+1),INDEX($A$3:$A$45,MATCH(CE31,$A$3:$A$45,1)):INDEX($A$3:$A$45,MATCH(CE31,$A$3:$A$45,1)+1))</f>
        <v>#N/A</v>
      </c>
      <c r="CG31" s="74" t="e">
        <f t="shared" si="13"/>
        <v>#N/A</v>
      </c>
      <c r="CH31" s="61">
        <f>SUM('FU Distribution'!BP93:$BP$109)</f>
        <v>0</v>
      </c>
      <c r="CI31" s="62" t="e">
        <f>FORECAST(CH31,INDEX($B$3:$B$45,MATCH(CH31,$A$3:$A$45,1)):INDEX($B$3:$B$45,MATCH(CH31,$A$3:$A$45,1)+1),INDEX($A$3:$A$45,MATCH(CH31,$A$3:$A$45,1)):INDEX($A$3:$A$45,MATCH(CH31,$A$3:$A$45,1)+1))</f>
        <v>#N/A</v>
      </c>
      <c r="CJ31" s="74" t="e">
        <f t="shared" si="14"/>
        <v>#N/A</v>
      </c>
    </row>
    <row r="32" spans="1:88" x14ac:dyDescent="0.25">
      <c r="A32" s="2">
        <v>500</v>
      </c>
      <c r="B32" s="2">
        <v>125</v>
      </c>
      <c r="C32" s="63"/>
      <c r="D32" s="52">
        <v>28</v>
      </c>
      <c r="E32" s="61">
        <f>SUM('FU Distribution'!AB94:$AB$109)+IF('FU Distribution'!$D$112=1,'FU Distribution'!$D$114,0)</f>
        <v>0</v>
      </c>
      <c r="F32" s="96" t="e">
        <f>FORECAST((SUM(E32:E1027)),INDEX($B$3:$B$45,MATCH((SUM(E32:E1027)),$A$3:$A$45,1)):INDEX($B$3:$B$45,MATCH((SUM(E32:E1027)),$A$3:$A$45,1)+1),INDEX($A$3:$A$45,MATCH((SUM(E32:E1027)),$A$3:$A$45,1)):INDEX($A$3:$A$45,MATCH((SUM(E32:E1027)),$A$3:$A$45,1)+1))</f>
        <v>#N/A</v>
      </c>
      <c r="G32" s="97" t="e">
        <f t="shared" ref="G32:G36" si="107">IF(AND(F32&lt;=750,F32&gt;250),6,IF(AND(F32&lt;=250,F32&gt;120),4,IF(AND(F32&lt;=120,F32&gt;75),3,IF(AND(F32&lt;=75,F32&gt;40),2.5,IF(AND(F32&lt;=40,F32&gt;20),2,IF(AND(F32&lt;=20,F32&gt;14),1.5,IF(AND(F32&lt;=14,F32&gt;7),1.25,IF(AND(F32&lt;=7,F32&gt;3.5),1,IF(AND(F32&lt;=3.5,F32&gt;1.7),0.75,IF(AND(F32&lt;=1.7,F32&gt;0),0.5))))))))))</f>
        <v>#N/A</v>
      </c>
      <c r="H32" s="61">
        <f>SUM('FU Distribution'!AC94:$AC$109)</f>
        <v>0</v>
      </c>
      <c r="I32" s="96" t="e">
        <f>FORECAST((SUM(H32:H1027)),INDEX($B$3:$B$45,MATCH((SUM(H32:H1027)),$A$3:$A$45,1)):INDEX($B$3:$B$45,MATCH((SUM(H32:H1027)),$A$3:$A$45,1)+1),INDEX($A$3:$A$45,MATCH((SUM(H32:H1027)),$A$3:$A$45,1)):INDEX($A$3:$A$45,MATCH((SUM(H32:H1027)),$A$3:$A$45,1)+1))</f>
        <v>#N/A</v>
      </c>
      <c r="J32" s="97" t="e">
        <f t="shared" ref="J32:J36" si="108">IF(AND(I32&lt;=750,I32&gt;250),6,IF(AND(I32&lt;=250,I32&gt;120),4,IF(AND(I32&lt;=120,I32&gt;75),3,IF(AND(I32&lt;=75,I32&gt;40),2.5,IF(AND(I32&lt;=40,I32&gt;20),2,IF(AND(I32&lt;=20,I32&gt;14),1.5,IF(AND(I32&lt;=14,I32&gt;7),1.25,IF(AND(I32&lt;=7,I32&gt;3.5),1,IF(AND(I32&lt;=3.5,I32&gt;1.7),0.75,IF(AND(I32&lt;=1.7,I32&gt;0),0.5))))))))))</f>
        <v>#N/A</v>
      </c>
      <c r="K32" s="75">
        <f>SUM('FU Distribution'!AE94:$AE$109)+IF('FU Distribution'!$D$112=2,'FU Distribution'!$D$114,0)</f>
        <v>0</v>
      </c>
      <c r="L32" s="96" t="e">
        <f>FORECAST((SUM(K32:K1027)),INDEX($B$3:$B$45,MATCH((SUM(K32:K1027)),$A$3:$A$45,1)):INDEX($B$3:$B$45,MATCH((SUM(K32:K1027)),$A$3:$A$45,1)+1),INDEX($A$3:$A$45,MATCH((SUM(K32:K1027)),$A$3:$A$45,1)):INDEX($A$3:$A$45,MATCH((SUM(K32:K1027)),$A$3:$A$45,1)+1))</f>
        <v>#N/A</v>
      </c>
      <c r="M32" s="97" t="e">
        <f t="shared" ref="M32:M36" si="109">IF(AND(L32&lt;=750,L32&gt;250),6,IF(AND(L32&lt;=250,L32&gt;120),4,IF(AND(L32&lt;=120,L32&gt;75),3,IF(AND(L32&lt;=75,L32&gt;40),2.5,IF(AND(L32&lt;=40,L32&gt;20),2,IF(AND(L32&lt;=20,L32&gt;14),1.5,IF(AND(L32&lt;=14,L32&gt;7),1.25,IF(AND(L32&lt;=7,L32&gt;3.5),1,IF(AND(L32&lt;=3.5,L32&gt;1.7),0.75,IF(AND(L32&lt;=1.7,L32&gt;0),0.5))))))))))</f>
        <v>#N/A</v>
      </c>
      <c r="N32" s="75">
        <f>SUM('FU Distribution'!AF94:$AF$109)</f>
        <v>0</v>
      </c>
      <c r="O32" s="96" t="e">
        <f>FORECAST((SUM(N32:N1027)),INDEX($B$3:$B$45,MATCH((SUM(N32:N1027)),$A$3:$A$45,1)):INDEX($B$3:$B$45,MATCH((SUM(N32:N1027)),$A$3:$A$45,1)+1),INDEX($A$3:$A$45,MATCH((SUM(N32:N1027)),$A$3:$A$45,1)):INDEX($A$3:$A$45,MATCH((SUM(N32:N1027)),$A$3:$A$45,1)+1))</f>
        <v>#N/A</v>
      </c>
      <c r="P32" s="97" t="e">
        <f t="shared" ref="P32:P36" si="110">IF(AND(O32&lt;=750,O32&gt;250),6,IF(AND(O32&lt;=250,O32&gt;120),4,IF(AND(O32&lt;=120,O32&gt;75),3,IF(AND(O32&lt;=75,O32&gt;40),2.5,IF(AND(O32&lt;=40,O32&gt;20),2,IF(AND(O32&lt;=20,O32&gt;14),1.5,IF(AND(O32&lt;=14,O32&gt;7),1.25,IF(AND(O32&lt;=7,O32&gt;3.5),1,IF(AND(O32&lt;=3.5,O32&gt;1.7),0.75,IF(AND(O32&lt;=1.7,O32&gt;0),0.5))))))))))</f>
        <v>#N/A</v>
      </c>
      <c r="Q32" s="61">
        <f>SUM('FU Distribution'!AH94:$AH$109)+IF('FU Distribution'!$D$112=3,'FU Distribution'!$D$114,0)</f>
        <v>0</v>
      </c>
      <c r="R32" s="96" t="e">
        <f>FORECAST((SUM(Q32:Q1027)),INDEX($B$3:$B$45,MATCH((SUM(Q32:Q1027)),$A$3:$A$45,1)):INDEX($B$3:$B$45,MATCH((SUM(Q32:Q1027)),$A$3:$A$45,1)+1),INDEX($A$3:$A$45,MATCH((SUM(Q32:Q1027)),$A$3:$A$45,1)):INDEX($A$3:$A$45,MATCH((SUM(Q32:Q1027)),$A$3:$A$45,1)+1))</f>
        <v>#N/A</v>
      </c>
      <c r="S32" s="97" t="e">
        <f t="shared" ref="S32:S36" si="111">IF(AND(R32&lt;=750,R32&gt;250),6,IF(AND(R32&lt;=250,R32&gt;120),4,IF(AND(R32&lt;=120,R32&gt;75),3,IF(AND(R32&lt;=75,R32&gt;40),2.5,IF(AND(R32&lt;=40,R32&gt;20),2,IF(AND(R32&lt;=20,R32&gt;14),1.5,IF(AND(R32&lt;=14,R32&gt;7),1.25,IF(AND(R32&lt;=7,R32&gt;3.5),1,IF(AND(R32&lt;=3.5,R32&gt;1.7),0.75,IF(AND(R32&lt;=1.7,R32&gt;0),0.5))))))))))</f>
        <v>#N/A</v>
      </c>
      <c r="T32" s="61">
        <f>SUM('FU Distribution'!AI94:$AI$109)</f>
        <v>0</v>
      </c>
      <c r="U32" s="96" t="e">
        <f>FORECAST((SUM(T32:T1027)),INDEX($B$3:$B$45,MATCH((SUM(T32:T1027)),$A$3:$A$45,1)):INDEX($B$3:$B$45,MATCH((SUM(T32:T1027)),$A$3:$A$45,1)+1),INDEX($A$3:$A$45,MATCH((SUM(T32:T1027)),$A$3:$A$45,1)):INDEX($A$3:$A$45,MATCH((SUM(T32:T1027)),$A$3:$A$45,1)+1))</f>
        <v>#N/A</v>
      </c>
      <c r="V32" s="97" t="e">
        <f t="shared" si="0"/>
        <v>#N/A</v>
      </c>
      <c r="W32" s="75">
        <f>SUM('FU Distribution'!AK94:$AK$109)+IF('FU Distribution'!$D$112=4,'FU Distribution'!$D$114,0)</f>
        <v>0</v>
      </c>
      <c r="X32" s="96" t="e">
        <f>FORECAST((SUM(W32:W1027)),INDEX($B$3:$B$45,MATCH((SUM(W32:W1027)),$A$3:$A$45,1)):INDEX($B$3:$B$45,MATCH((SUM(W32:W1027)),$A$3:$A$45,1)+1),INDEX($A$3:$A$45,MATCH((SUM(W32:W1027)),$A$3:$A$45,1)):INDEX($A$3:$A$45,MATCH((SUM(W32:W1027)),$A$3:$A$45,1)+1))</f>
        <v>#N/A</v>
      </c>
      <c r="Y32" s="97" t="e">
        <f t="shared" si="1"/>
        <v>#N/A</v>
      </c>
      <c r="Z32" s="75">
        <f>SUM('FU Distribution'!AL94:$AL$109)</f>
        <v>0</v>
      </c>
      <c r="AA32" s="96" t="e">
        <f>FORECAST((SUM(Z32:Z1027)),INDEX($B$3:$B$45,MATCH((SUM(Z32:Z1027)),$A$3:$A$45,1)):INDEX($B$3:$B$45,MATCH((SUM(Z32:Z1027)),$A$3:$A$45,1)+1),INDEX($A$3:$A$45,MATCH((SUM(Z32:Z1027)),$A$3:$A$45,1)):INDEX($A$3:$A$45,MATCH((SUM(Z32:Z1027)),$A$3:$A$45,1)+1))</f>
        <v>#N/A</v>
      </c>
      <c r="AB32" s="97" t="e">
        <f t="shared" ref="AB32:AB36" si="112">IF(AND(AA32&lt;=750,AA32&gt;250),6,IF(AND(AA32&lt;=250,AA32&gt;120),4,IF(AND(AA32&lt;=120,AA32&gt;75),3,IF(AND(AA32&lt;=75,AA32&gt;40),2.5,IF(AND(AA32&lt;=40,AA32&gt;20),2,IF(AND(AA32&lt;=20,AA32&gt;14),1.5,IF(AND(AA32&lt;=14,AA32&gt;7),1.25,IF(AND(AA32&lt;=7,AA32&gt;3.5),1,IF(AND(AA32&lt;=3.5,AA32&gt;1.7),0.75,IF(AND(AA32&lt;=1.7,AA32&gt;0),0.5))))))))))</f>
        <v>#N/A</v>
      </c>
      <c r="AC32" s="61">
        <f>SUM('FU Distribution'!AN94:$AN$109)+IF('FU Distribution'!$D$112=5,'FU Distribution'!$D$114,0)</f>
        <v>0</v>
      </c>
      <c r="AD32" s="96" t="e">
        <f>FORECAST((SUM(AC32:AC1027)),INDEX($B$3:$B$45,MATCH((SUM(AC32:AC1027)),$A$3:$A$45,1)):INDEX($B$3:$B$45,MATCH((SUM(AC32:AC1027)),$A$3:$A$45,1)+1),INDEX($A$3:$A$45,MATCH((SUM(AC32:AC1027)),$A$3:$A$45,1)):INDEX($A$3:$A$45,MATCH((SUM(AC32:AC1027)),$A$3:$A$45,1)+1))</f>
        <v>#N/A</v>
      </c>
      <c r="AE32" s="97" t="e">
        <f t="shared" ref="AE32:AE36" si="113">IF(AND(AD32&lt;=750,AD32&gt;250),6,IF(AND(AD32&lt;=250,AD32&gt;120),4,IF(AND(AD32&lt;=120,AD32&gt;75),3,IF(AND(AD32&lt;=75,AD32&gt;40),2.5,IF(AND(AD32&lt;=40,AD32&gt;20),2,IF(AND(AD32&lt;=20,AD32&gt;14),1.5,IF(AND(AD32&lt;=14,AD32&gt;7),1.25,IF(AND(AD32&lt;=7,AD32&gt;3.5),1,IF(AND(AD32&lt;=3.5,AD32&gt;1.7),0.75,IF(AND(AD32&lt;=1.7,AD32&gt;0),0.5))))))))))</f>
        <v>#N/A</v>
      </c>
      <c r="AF32" s="61">
        <f>SUM('FU Distribution'!AO94:$AO$109)</f>
        <v>0</v>
      </c>
      <c r="AG32" s="96" t="e">
        <f>FORECAST((SUM(AF32:AF1027)),INDEX($B$3:$B$45,MATCH((SUM(AF32:AF1027)),$A$3:$A$45,1)):INDEX($B$3:$B$45,MATCH((SUM(AF32:AF1027)),$A$3:$A$45,1)+1),INDEX($A$3:$A$45,MATCH((SUM(AF32:AF1027)),$A$3:$A$45,1)):INDEX($A$3:$A$45,MATCH((SUM(AF32:AF1027)),$A$3:$A$45,1)+1))</f>
        <v>#N/A</v>
      </c>
      <c r="AH32" s="97" t="e">
        <f t="shared" ref="AH32:AH36" si="114">IF(AND(AG32&lt;=750,AG32&gt;250),6,IF(AND(AG32&lt;=250,AG32&gt;120),4,IF(AND(AG32&lt;=120,AG32&gt;75),3,IF(AND(AG32&lt;=75,AG32&gt;40),2.5,IF(AND(AG32&lt;=40,AG32&gt;20),2,IF(AND(AG32&lt;=20,AG32&gt;14),1.5,IF(AND(AG32&lt;=14,AG32&gt;7),1.25,IF(AND(AG32&lt;=7,AG32&gt;3.5),1,IF(AND(AG32&lt;=3.5,AG32&gt;1.7),0.75,IF(AND(AG32&lt;=1.7,AG32&gt;0),0.5))))))))))</f>
        <v>#N/A</v>
      </c>
      <c r="AI32" s="75">
        <f>SUM('FU Distribution'!AQ94:$AQ$109)+IF('FU Distribution'!$D$112=6,'FU Distribution'!$D$114,0)</f>
        <v>0</v>
      </c>
      <c r="AJ32" s="96" t="e">
        <f>FORECAST((SUM(AI32:AI1027)),INDEX($B$3:$B$45,MATCH((SUM(AI32:AI1027)),$A$3:$A$45,1)):INDEX($B$3:$B$45,MATCH((SUM(AI32:AI1027)),$A$3:$A$45,1)+1),INDEX($A$3:$A$45,MATCH((SUM(AI32:AI1027)),$A$3:$A$45,1)):INDEX($A$3:$A$45,MATCH((SUM(AI32:AI1027)),$A$3:$A$45,1)+1))</f>
        <v>#N/A</v>
      </c>
      <c r="AK32" s="97" t="e">
        <f t="shared" ref="AK32:AK36" si="115">IF(AND(AJ32&lt;=750,AJ32&gt;250),6,IF(AND(AJ32&lt;=250,AJ32&gt;120),4,IF(AND(AJ32&lt;=120,AJ32&gt;75),3,IF(AND(AJ32&lt;=75,AJ32&gt;40),2.5,IF(AND(AJ32&lt;=40,AJ32&gt;20),2,IF(AND(AJ32&lt;=20,AJ32&gt;14),1.5,IF(AND(AJ32&lt;=14,AJ32&gt;7),1.25,IF(AND(AJ32&lt;=7,AJ32&gt;3.5),1,IF(AND(AJ32&lt;=3.5,AJ32&gt;1.7),0.75,IF(AND(AJ32&lt;=1.7,AJ32&gt;0),0.5))))))))))</f>
        <v>#N/A</v>
      </c>
      <c r="AL32" s="75">
        <f>SUM('FU Distribution'!AR94:$AR$109)</f>
        <v>0</v>
      </c>
      <c r="AM32" s="96" t="e">
        <f>FORECAST((SUM(AL32:AL1027)),INDEX($B$3:$B$45,MATCH((SUM(AL32:AL1027)),$A$3:$A$45,1)):INDEX($B$3:$B$45,MATCH((SUM(AL32:AL1027)),$A$3:$A$45,1)+1),INDEX($A$3:$A$45,MATCH((SUM(AL32:AL1027)),$A$3:$A$45,1)):INDEX($A$3:$A$45,MATCH((SUM(AL32:AL1027)),$A$3:$A$45,1)+1))</f>
        <v>#N/A</v>
      </c>
      <c r="AN32" s="97" t="e">
        <f t="shared" ref="AN32:AN36" si="116">IF(AND(AM32&lt;=750,AM32&gt;250),6,IF(AND(AM32&lt;=250,AM32&gt;120),4,IF(AND(AM32&lt;=120,AM32&gt;75),3,IF(AND(AM32&lt;=75,AM32&gt;40),2.5,IF(AND(AM32&lt;=40,AM32&gt;20),2,IF(AND(AM32&lt;=20,AM32&gt;14),1.5,IF(AND(AM32&lt;=14,AM32&gt;7),1.25,IF(AND(AM32&lt;=7,AM32&gt;3.5),1,IF(AND(AM32&lt;=3.5,AM32&gt;1.7),0.75,IF(AND(AM32&lt;=1.7,AM32&gt;0),0.5))))))))))</f>
        <v>#N/A</v>
      </c>
      <c r="AO32" s="61">
        <f>SUM('FU Distribution'!AT94:$AT$109)+IF('FU Distribution'!$D$112=7,'FU Distribution'!$D$114,0)</f>
        <v>0</v>
      </c>
      <c r="AP32" s="96" t="e">
        <f>FORECAST((SUM(AO32:AO1027)),INDEX($B$3:$B$45,MATCH((SUM(AO32:AO1027)),$A$3:$A$45,1)):INDEX($B$3:$B$45,MATCH((SUM(AO32:AO1027)),$A$3:$A$45,1)+1),INDEX($A$3:$A$45,MATCH((SUM(AO32:AO1027)),$A$3:$A$45,1)):INDEX($A$3:$A$45,MATCH((SUM(AO32:AO1027)),$A$3:$A$45,1)+1))</f>
        <v>#N/A</v>
      </c>
      <c r="AQ32" s="97" t="e">
        <f t="shared" ref="AQ32:AQ36" si="117">IF(AND(AP32&lt;=750,AP32&gt;250),6,IF(AND(AP32&lt;=250,AP32&gt;120),4,IF(AND(AP32&lt;=120,AP32&gt;75),3,IF(AND(AP32&lt;=75,AP32&gt;40),2.5,IF(AND(AP32&lt;=40,AP32&gt;20),2,IF(AND(AP32&lt;=20,AP32&gt;14),1.5,IF(AND(AP32&lt;=14,AP32&gt;7),1.25,IF(AND(AP32&lt;=7,AP32&gt;3.5),1,IF(AND(AP32&lt;=3.5,AP32&gt;1.7),0.75,IF(AND(AP32&lt;=1.7,AP32&gt;0),0.5))))))))))</f>
        <v>#N/A</v>
      </c>
      <c r="AR32" s="61">
        <f>SUM('FU Distribution'!AU94:$AU$109)</f>
        <v>0</v>
      </c>
      <c r="AS32" s="96" t="e">
        <f>FORECAST((SUM(AR32:AR1027)),INDEX($B$3:$B$45,MATCH((SUM(AR32:AR1027)),$A$3:$A$45,1)):INDEX($B$3:$B$45,MATCH((SUM(AR32:AR1027)),$A$3:$A$45,1)+1),INDEX($A$3:$A$45,MATCH((SUM(AR32:AR1027)),$A$3:$A$45,1)):INDEX($A$3:$A$45,MATCH((SUM(AR32:AR1027)),$A$3:$A$45,1)+1))</f>
        <v>#N/A</v>
      </c>
      <c r="AT32" s="97" t="e">
        <f t="shared" ref="AT32:AT36" si="118">IF(AND(AS32&lt;=750,AS32&gt;250),6,IF(AND(AS32&lt;=250,AS32&gt;120),4,IF(AND(AS32&lt;=120,AS32&gt;75),3,IF(AND(AS32&lt;=75,AS32&gt;40),2.5,IF(AND(AS32&lt;=40,AS32&gt;20),2,IF(AND(AS32&lt;=20,AS32&gt;14),1.5,IF(AND(AS32&lt;=14,AS32&gt;7),1.25,IF(AND(AS32&lt;=7,AS32&gt;3.5),1,IF(AND(AS32&lt;=3.5,AS32&gt;1.7),0.75,IF(AND(AS32&lt;=1.7,AS32&gt;0),0.5))))))))))</f>
        <v>#N/A</v>
      </c>
      <c r="AU32" s="61">
        <f>SUM('FU Distribution'!AW94:$AW$109)+IF('FU Distribution'!$D$112=8,'FU Distribution'!$D$114,0)</f>
        <v>0</v>
      </c>
      <c r="AV32" s="98" t="e">
        <f>FORECAST(AU32,INDEX($B$3:$B$45,MATCH(AU32,$A$3:$A$45,1)):INDEX($B$3:$B$45,MATCH(AU32,$A$3:$A$45,1)+1),INDEX($A$3:$A$45,MATCH(AU32,$A$3:$A$45,1)):INDEX($A$3:$A$45,MATCH(AU32,$A$3:$A$45,1)+1))</f>
        <v>#N/A</v>
      </c>
      <c r="AW32" s="97" t="e">
        <f t="shared" ref="AW32:AW36" si="119">IF(AND(AV32&lt;=750,AV32&gt;250),6,IF(AND(AV32&lt;=250,AV32&gt;120),4,IF(AND(AV32&lt;=120,AV32&gt;75),3,IF(AND(AV32&lt;=75,AV32&gt;40),2.5,IF(AND(AV32&lt;=40,AV32&gt;20),2,IF(AND(AV32&lt;=20,AV32&gt;14),1.5,IF(AND(AV32&lt;=14,AV32&gt;7),1.25,IF(AND(AV32&lt;=7,AV32&gt;3.5),1,IF(AND(AV32&lt;=3.5,AV32&gt;1.7),0.75,IF(AND(AV32&lt;=1.7,AV32&gt;0),0.5))))))))))</f>
        <v>#N/A</v>
      </c>
      <c r="AX32" s="61">
        <f>SUM('FU Distribution'!AX94:$AX$109)</f>
        <v>0</v>
      </c>
      <c r="AY32" s="98" t="e">
        <f>FORECAST(AX32,INDEX($B$3:$B$45,MATCH(AX32,$A$3:$A$45,1)):INDEX($B$3:$B$45,MATCH(AX32,$A$3:$A$45,1)+1),INDEX($A$3:$A$45,MATCH(AX32,$A$3:$A$45,1)):INDEX($A$3:$A$45,MATCH(AX32,$A$3:$A$45,1)+1))</f>
        <v>#N/A</v>
      </c>
      <c r="AZ32" s="97" t="e">
        <f t="shared" ref="AZ32:AZ36" si="120">IF(AND(AY32&lt;=750,AY32&gt;250),6,IF(AND(AY32&lt;=250,AY32&gt;120),4,IF(AND(AY32&lt;=120,AY32&gt;75),3,IF(AND(AY32&lt;=75,AY32&gt;40),2.5,IF(AND(AY32&lt;=40,AY32&gt;20),2,IF(AND(AY32&lt;=20,AY32&gt;14),1.5,IF(AND(AY32&lt;=14,AY32&gt;7),1.25,IF(AND(AY32&lt;=7,AY32&gt;3.5),1,IF(AND(AY32&lt;=3.5,AY32&gt;1.7),0.75,IF(AND(AY32&lt;=1.7,AY32&gt;0),0.5))))))))))</f>
        <v>#N/A</v>
      </c>
      <c r="BA32" s="75">
        <f>SUM('FU Distribution'!AZ94:$AZ$109)+IF('FU Distribution'!$D$112=9,'FU Distribution'!$D$114,0)</f>
        <v>0</v>
      </c>
      <c r="BB32" s="76" t="e">
        <f>FORECAST((SUM(BA32:BA1027)),INDEX($B$3:$B$45,MATCH((SUM(BA32:BA1027)),$A$3:$A$45,1)):INDEX($B$3:$B$45,MATCH((SUM(BA32:BA1027)),$A$3:$A$45,1)+1),INDEX($A$3:$A$45,MATCH((SUM(BA32:BA1027)),$A$3:$A$45,1)):INDEX($A$3:$A$45,MATCH((SUM(BA32:BA1027)),$A$3:$A$45,1)+1))</f>
        <v>#N/A</v>
      </c>
      <c r="BC32" s="77" t="e">
        <f t="shared" si="3"/>
        <v>#N/A</v>
      </c>
      <c r="BD32" s="75">
        <f>SUM('FU Distribution'!BA94:$BA$109)</f>
        <v>0</v>
      </c>
      <c r="BE32" s="76" t="e">
        <f>FORECAST((SUM(BD32:BD1027)),INDEX($B$3:$B$45,MATCH((SUM(BD32:BD1027)),$A$3:$A$45,1)):INDEX($B$3:$B$45,MATCH((SUM(BD32:BD1027)),$A$3:$A$45,1)+1),INDEX($A$3:$A$45,MATCH((SUM(BD32:BD1027)),$A$3:$A$45,1)):INDEX($A$3:$A$45,MATCH((SUM(BD32:BD1027)),$A$3:$A$45,1)+1))</f>
        <v>#N/A</v>
      </c>
      <c r="BF32" s="77" t="e">
        <f t="shared" si="4"/>
        <v>#N/A</v>
      </c>
      <c r="BG32" s="61">
        <f>SUM('FU Distribution'!BC94:$BC$109)+IF('FU Distribution'!$D$112=10,'FU Distribution'!$D$114,0)</f>
        <v>0</v>
      </c>
      <c r="BH32" s="62" t="e">
        <f>FORECAST((SUM(BG32:BG1027)),INDEX($B$3:$B$45,MATCH((SUM(BG32:BG1027)),$A$3:$A$45,1)):INDEX($B$3:$B$45,MATCH((SUM(BG32:BG1027)),$A$3:$A$45,1)+1),INDEX($A$3:$A$45,MATCH((SUM(BG32:BG1027)),$A$3:$A$45,1)):INDEX($A$3:$A$45,MATCH((SUM(BG32:BG1027)),$A$3:$A$45,1)+1))</f>
        <v>#N/A</v>
      </c>
      <c r="BI32" s="74" t="e">
        <f t="shared" si="5"/>
        <v>#N/A</v>
      </c>
      <c r="BJ32" s="61">
        <f>SUM('FU Distribution'!BD94:$BD$109)</f>
        <v>0</v>
      </c>
      <c r="BK32" s="62" t="e">
        <f>FORECAST((SUM(BJ32:BJ1027)),INDEX($B$3:$B$45,MATCH((SUM(BJ32:BJ1027)),$A$3:$A$45,1)):INDEX($B$3:$B$45,MATCH((SUM(BJ32:BJ1027)),$A$3:$A$45,1)+1),INDEX($A$3:$A$45,MATCH((SUM(BJ32:BJ1027)),$A$3:$A$45,1)):INDEX($A$3:$A$45,MATCH((SUM(BJ32:BJ1027)),$A$3:$A$45,1)+1))</f>
        <v>#N/A</v>
      </c>
      <c r="BL32" s="74" t="e">
        <f t="shared" si="6"/>
        <v>#N/A</v>
      </c>
      <c r="BM32" s="75">
        <f>SUM('FU Distribution'!BF94:$BF$109)+IF('FU Distribution'!$D$112=11,'FU Distribution'!$D$114,0)</f>
        <v>0</v>
      </c>
      <c r="BN32" s="76" t="e">
        <f>FORECAST((SUM(BM32:BM1027)),INDEX($B$3:$B$45,MATCH((SUM(BM32:BM1027)),$A$3:$A$45,1)):INDEX($B$3:$B$45,MATCH((SUM(BM32:BM1027)),$A$3:$A$45,1)+1),INDEX($A$3:$A$45,MATCH((SUM(BM32:BM1027)),$A$3:$A$45,1)):INDEX($A$3:$A$45,MATCH((SUM(BM32:BM1027)),$A$3:$A$45,1)+1))</f>
        <v>#N/A</v>
      </c>
      <c r="BO32" s="77" t="e">
        <f t="shared" si="7"/>
        <v>#N/A</v>
      </c>
      <c r="BP32" s="75">
        <f>SUM('FU Distribution'!BG94:$BG$109)</f>
        <v>0</v>
      </c>
      <c r="BQ32" s="76" t="e">
        <f>FORECAST((SUM(BP32:BP1027)),INDEX($B$3:$B$45,MATCH((SUM(BP32:BP1027)),$A$3:$A$45,1)):INDEX($B$3:$B$45,MATCH((SUM(BP32:BP1027)),$A$3:$A$45,1)+1),INDEX($A$3:$A$45,MATCH((SUM(BP32:BP1027)),$A$3:$A$45,1)):INDEX($A$3:$A$45,MATCH((SUM(BP32:BP1027)),$A$3:$A$45,1)+1))</f>
        <v>#N/A</v>
      </c>
      <c r="BR32" s="77" t="e">
        <f t="shared" si="8"/>
        <v>#N/A</v>
      </c>
      <c r="BS32" s="61">
        <f>SUM('FU Distribution'!BI94:$BI$109)+IF('FU Distribution'!$D$112=12,'FU Distribution'!$D$114,0)</f>
        <v>0</v>
      </c>
      <c r="BT32" s="62" t="e">
        <f>FORECAST(BS32,INDEX($B$3:$B$45,MATCH(BS32,$A$3:$A$45,1)):INDEX($B$3:$B$45,MATCH(BS32,$A$3:$A$45,1)+1),INDEX($A$3:$A$45,MATCH(BS32,$A$3:$A$45,1)):INDEX($A$3:$A$45,MATCH(BS32,$A$3:$A$45,1)+1))</f>
        <v>#N/A</v>
      </c>
      <c r="BU32" s="74" t="e">
        <f t="shared" si="9"/>
        <v>#N/A</v>
      </c>
      <c r="BV32" s="61">
        <f>SUM('FU Distribution'!BJ94:$BJ$109)</f>
        <v>0</v>
      </c>
      <c r="BW32" s="62" t="e">
        <f>FORECAST(BV32,INDEX($B$3:$B$45,MATCH(BV32,$A$3:$A$45,1)):INDEX($B$3:$B$45,MATCH(BV32,$A$3:$A$45,1)+1),INDEX($A$3:$A$45,MATCH(BV32,$A$3:$A$45,1)):INDEX($A$3:$A$45,MATCH(BV32,$A$3:$A$45,1)+1))</f>
        <v>#N/A</v>
      </c>
      <c r="BX32" s="74" t="e">
        <f t="shared" si="10"/>
        <v>#N/A</v>
      </c>
      <c r="BY32" s="75">
        <f>SUM('FU Distribution'!BL94:$BL$109)+IF('FU Distribution'!$D$112=13,'FU Distribution'!$D$114,0)</f>
        <v>0</v>
      </c>
      <c r="BZ32" s="76" t="e">
        <f>FORECAST(BY32,INDEX($B$3:$B$45,MATCH(BY32,$A$3:$A$45,1)):INDEX($B$3:$B$45,MATCH(BY32,$A$3:$A$45,1)+1),INDEX($A$3:$A$45,MATCH(BY32,$A$3:$A$45,1)):INDEX($A$3:$A$45,MATCH(BY32,$A$3:$A$45,1)+1))</f>
        <v>#N/A</v>
      </c>
      <c r="CA32" s="77" t="e">
        <f t="shared" si="11"/>
        <v>#N/A</v>
      </c>
      <c r="CB32" s="75">
        <f>SUM('FU Distribution'!BM94:$BM$109)</f>
        <v>0</v>
      </c>
      <c r="CC32" s="76" t="e">
        <f>FORECAST(CB32,INDEX($B$3:$B$45,MATCH(CB32,$A$3:$A$45,1)):INDEX($B$3:$B$45,MATCH(CB32,$A$3:$A$45,1)+1),INDEX($A$3:$A$45,MATCH(CB32,$A$3:$A$45,1)):INDEX($A$3:$A$45,MATCH(CB32,$A$3:$A$45,1)+1))</f>
        <v>#N/A</v>
      </c>
      <c r="CD32" s="77" t="e">
        <f t="shared" si="12"/>
        <v>#N/A</v>
      </c>
      <c r="CE32" s="61">
        <f>SUM('FU Distribution'!BO94:$BO$109)+IF('FU Distribution'!$D$112=13,'FU Distribution'!$D$114,0)</f>
        <v>0</v>
      </c>
      <c r="CF32" s="62" t="e">
        <f>FORECAST(CE32,INDEX($B$3:$B$45,MATCH(CE32,$A$3:$A$45,1)):INDEX($B$3:$B$45,MATCH(CE32,$A$3:$A$45,1)+1),INDEX($A$3:$A$45,MATCH(CE32,$A$3:$A$45,1)):INDEX($A$3:$A$45,MATCH(CE32,$A$3:$A$45,1)+1))</f>
        <v>#N/A</v>
      </c>
      <c r="CG32" s="74" t="e">
        <f t="shared" si="13"/>
        <v>#N/A</v>
      </c>
      <c r="CH32" s="61">
        <f>SUM('FU Distribution'!BP94:$BP$109)</f>
        <v>0</v>
      </c>
      <c r="CI32" s="62" t="e">
        <f>FORECAST(CH32,INDEX($B$3:$B$45,MATCH(CH32,$A$3:$A$45,1)):INDEX($B$3:$B$45,MATCH(CH32,$A$3:$A$45,1)+1),INDEX($A$3:$A$45,MATCH(CH32,$A$3:$A$45,1)):INDEX($A$3:$A$45,MATCH(CH32,$A$3:$A$45,1)+1))</f>
        <v>#N/A</v>
      </c>
      <c r="CJ32" s="74" t="e">
        <f t="shared" si="14"/>
        <v>#N/A</v>
      </c>
    </row>
    <row r="33" spans="1:88" x14ac:dyDescent="0.25">
      <c r="A33" s="2">
        <v>600</v>
      </c>
      <c r="B33" s="2">
        <v>150</v>
      </c>
      <c r="C33" s="63"/>
      <c r="D33" s="52">
        <v>29</v>
      </c>
      <c r="E33" s="61">
        <f>SUM('FU Distribution'!AB95:$AB$109)+IF('FU Distribution'!$D$112=1,'FU Distribution'!$D$114,0)</f>
        <v>0</v>
      </c>
      <c r="F33" s="98" t="e">
        <f>FORECAST((SUM(E33:E1028)),INDEX($B$3:$B$45,MATCH((SUM(E33:E1028)),$A$3:$A$45,1)):INDEX($B$3:$B$45,MATCH((SUM(E33:E1028)),$A$3:$A$45,1)+1),INDEX($A$3:$A$45,MATCH((SUM(E33:E1028)),$A$3:$A$45,1)):INDEX($A$3:$A$45,MATCH((SUM(E33:E1028)),$A$3:$A$45,1)+1))</f>
        <v>#N/A</v>
      </c>
      <c r="G33" s="99" t="e">
        <f t="shared" si="107"/>
        <v>#N/A</v>
      </c>
      <c r="H33" s="61">
        <f>SUM('FU Distribution'!AC95:$AC$109)</f>
        <v>0</v>
      </c>
      <c r="I33" s="98" t="e">
        <f>FORECAST((SUM(H33:H1028)),INDEX($B$3:$B$45,MATCH((SUM(H33:H1028)),$A$3:$A$45,1)):INDEX($B$3:$B$45,MATCH((SUM(H33:H1028)),$A$3:$A$45,1)+1),INDEX($A$3:$A$45,MATCH((SUM(H33:H1028)),$A$3:$A$45,1)):INDEX($A$3:$A$45,MATCH((SUM(H33:H1028)),$A$3:$A$45,1)+1))</f>
        <v>#N/A</v>
      </c>
      <c r="J33" s="99" t="e">
        <f t="shared" si="108"/>
        <v>#N/A</v>
      </c>
      <c r="K33" s="75">
        <f>SUM('FU Distribution'!AE95:$AE$109)+IF('FU Distribution'!$D$112=2,'FU Distribution'!$D$114,0)</f>
        <v>0</v>
      </c>
      <c r="L33" s="100" t="e">
        <f>FORECAST((SUM(K33:K1028)),INDEX($B$3:$B$45,MATCH((SUM(K33:K1028)),$A$3:$A$45,1)):INDEX($B$3:$B$45,MATCH((SUM(K33:K1028)),$A$3:$A$45,1)+1),INDEX($A$3:$A$45,MATCH((SUM(K33:K1028)),$A$3:$A$45,1)):INDEX($A$3:$A$45,MATCH((SUM(K33:K1028)),$A$3:$A$45,1)+1))</f>
        <v>#N/A</v>
      </c>
      <c r="M33" s="101" t="e">
        <f t="shared" si="109"/>
        <v>#N/A</v>
      </c>
      <c r="N33" s="75">
        <f>SUM('FU Distribution'!AF95:$AF$109)</f>
        <v>0</v>
      </c>
      <c r="O33" s="100" t="e">
        <f>FORECAST((SUM(N33:N1028)),INDEX($B$3:$B$45,MATCH((SUM(N33:N1028)),$A$3:$A$45,1)):INDEX($B$3:$B$45,MATCH((SUM(N33:N1028)),$A$3:$A$45,1)+1),INDEX($A$3:$A$45,MATCH((SUM(N33:N1028)),$A$3:$A$45,1)):INDEX($A$3:$A$45,MATCH((SUM(N33:N1028)),$A$3:$A$45,1)+1))</f>
        <v>#N/A</v>
      </c>
      <c r="P33" s="101" t="e">
        <f t="shared" si="110"/>
        <v>#N/A</v>
      </c>
      <c r="Q33" s="61">
        <f>SUM('FU Distribution'!AH95:$AH$109)+IF('FU Distribution'!$D$112=3,'FU Distribution'!$D$114,0)</f>
        <v>0</v>
      </c>
      <c r="R33" s="98" t="e">
        <f>FORECAST((SUM(Q33:Q1028)),INDEX($B$3:$B$45,MATCH((SUM(Q33:Q1028)),$A$3:$A$45,1)):INDEX($B$3:$B$45,MATCH((SUM(Q33:Q1028)),$A$3:$A$45,1)+1),INDEX($A$3:$A$45,MATCH((SUM(Q33:Q1028)),$A$3:$A$45,1)):INDEX($A$3:$A$45,MATCH((SUM(Q33:Q1028)),$A$3:$A$45,1)+1))</f>
        <v>#N/A</v>
      </c>
      <c r="S33" s="99" t="e">
        <f t="shared" si="111"/>
        <v>#N/A</v>
      </c>
      <c r="T33" s="61">
        <f>SUM('FU Distribution'!AI95:$AI$109)</f>
        <v>0</v>
      </c>
      <c r="U33" s="98" t="e">
        <f>FORECAST((SUM(T33:T1028)),INDEX($B$3:$B$45,MATCH((SUM(T33:T1028)),$A$3:$A$45,1)):INDEX($B$3:$B$45,MATCH((SUM(T33:T1028)),$A$3:$A$45,1)+1),INDEX($A$3:$A$45,MATCH((SUM(T33:T1028)),$A$3:$A$45,1)):INDEX($A$3:$A$45,MATCH((SUM(T33:T1028)),$A$3:$A$45,1)+1))</f>
        <v>#N/A</v>
      </c>
      <c r="V33" s="99" t="e">
        <f t="shared" si="0"/>
        <v>#N/A</v>
      </c>
      <c r="W33" s="75">
        <f>SUM('FU Distribution'!AK95:$AK$109)+IF('FU Distribution'!$D$112=4,'FU Distribution'!$D$114,0)</f>
        <v>0</v>
      </c>
      <c r="X33" s="100" t="e">
        <f>FORECAST((SUM(W33:W1028)),INDEX($B$3:$B$45,MATCH((SUM(W33:W1028)),$A$3:$A$45,1)):INDEX($B$3:$B$45,MATCH((SUM(W33:W1028)),$A$3:$A$45,1)+1),INDEX($A$3:$A$45,MATCH((SUM(W33:W1028)),$A$3:$A$45,1)):INDEX($A$3:$A$45,MATCH((SUM(W33:W1028)),$A$3:$A$45,1)+1))</f>
        <v>#N/A</v>
      </c>
      <c r="Y33" s="101" t="e">
        <f t="shared" si="1"/>
        <v>#N/A</v>
      </c>
      <c r="Z33" s="75">
        <f>SUM('FU Distribution'!AL95:$AL$109)</f>
        <v>0</v>
      </c>
      <c r="AA33" s="100" t="e">
        <f>FORECAST((SUM(Z33:Z1028)),INDEX($B$3:$B$45,MATCH((SUM(Z33:Z1028)),$A$3:$A$45,1)):INDEX($B$3:$B$45,MATCH((SUM(Z33:Z1028)),$A$3:$A$45,1)+1),INDEX($A$3:$A$45,MATCH((SUM(Z33:Z1028)),$A$3:$A$45,1)):INDEX($A$3:$A$45,MATCH((SUM(Z33:Z1028)),$A$3:$A$45,1)+1))</f>
        <v>#N/A</v>
      </c>
      <c r="AB33" s="101" t="e">
        <f t="shared" si="112"/>
        <v>#N/A</v>
      </c>
      <c r="AC33" s="61">
        <f>SUM('FU Distribution'!AN95:$AN$109)+IF('FU Distribution'!$D$112=5,'FU Distribution'!$D$114,0)</f>
        <v>0</v>
      </c>
      <c r="AD33" s="98" t="e">
        <f>FORECAST((SUM(AC33:AC1028)),INDEX($B$3:$B$45,MATCH((SUM(AC33:AC1028)),$A$3:$A$45,1)):INDEX($B$3:$B$45,MATCH((SUM(AC33:AC1028)),$A$3:$A$45,1)+1),INDEX($A$3:$A$45,MATCH((SUM(AC33:AC1028)),$A$3:$A$45,1)):INDEX($A$3:$A$45,MATCH((SUM(AC33:AC1028)),$A$3:$A$45,1)+1))</f>
        <v>#N/A</v>
      </c>
      <c r="AE33" s="99" t="e">
        <f t="shared" si="113"/>
        <v>#N/A</v>
      </c>
      <c r="AF33" s="61">
        <f>SUM('FU Distribution'!AO95:$AO$109)</f>
        <v>0</v>
      </c>
      <c r="AG33" s="98" t="e">
        <f>FORECAST((SUM(AF33:AF1028)),INDEX($B$3:$B$45,MATCH((SUM(AF33:AF1028)),$A$3:$A$45,1)):INDEX($B$3:$B$45,MATCH((SUM(AF33:AF1028)),$A$3:$A$45,1)+1),INDEX($A$3:$A$45,MATCH((SUM(AF33:AF1028)),$A$3:$A$45,1)):INDEX($A$3:$A$45,MATCH((SUM(AF33:AF1028)),$A$3:$A$45,1)+1))</f>
        <v>#N/A</v>
      </c>
      <c r="AH33" s="99" t="e">
        <f t="shared" si="114"/>
        <v>#N/A</v>
      </c>
      <c r="AI33" s="75">
        <f>SUM('FU Distribution'!AQ95:$AQ$109)+IF('FU Distribution'!$D$112=6,'FU Distribution'!$D$114,0)</f>
        <v>0</v>
      </c>
      <c r="AJ33" s="100" t="e">
        <f>FORECAST((SUM(AI33:AI1028)),INDEX($B$3:$B$45,MATCH((SUM(AI33:AI1028)),$A$3:$A$45,1)):INDEX($B$3:$B$45,MATCH((SUM(AI33:AI1028)),$A$3:$A$45,1)+1),INDEX($A$3:$A$45,MATCH((SUM(AI33:AI1028)),$A$3:$A$45,1)):INDEX($A$3:$A$45,MATCH((SUM(AI33:AI1028)),$A$3:$A$45,1)+1))</f>
        <v>#N/A</v>
      </c>
      <c r="AK33" s="101" t="e">
        <f t="shared" si="115"/>
        <v>#N/A</v>
      </c>
      <c r="AL33" s="75">
        <f>SUM('FU Distribution'!AR95:$AR$109)</f>
        <v>0</v>
      </c>
      <c r="AM33" s="100" t="e">
        <f>FORECAST((SUM(AL33:AL1028)),INDEX($B$3:$B$45,MATCH((SUM(AL33:AL1028)),$A$3:$A$45,1)):INDEX($B$3:$B$45,MATCH((SUM(AL33:AL1028)),$A$3:$A$45,1)+1),INDEX($A$3:$A$45,MATCH((SUM(AL33:AL1028)),$A$3:$A$45,1)):INDEX($A$3:$A$45,MATCH((SUM(AL33:AL1028)),$A$3:$A$45,1)+1))</f>
        <v>#N/A</v>
      </c>
      <c r="AN33" s="101" t="e">
        <f t="shared" si="116"/>
        <v>#N/A</v>
      </c>
      <c r="AO33" s="61">
        <f>SUM('FU Distribution'!AT95:$AT$109)+IF('FU Distribution'!$D$112=7,'FU Distribution'!$D$114,0)</f>
        <v>0</v>
      </c>
      <c r="AP33" s="98" t="e">
        <f>FORECAST((SUM(AO33:AO1028)),INDEX($B$3:$B$45,MATCH((SUM(AO33:AO1028)),$A$3:$A$45,1)):INDEX($B$3:$B$45,MATCH((SUM(AO33:AO1028)),$A$3:$A$45,1)+1),INDEX($A$3:$A$45,MATCH((SUM(AO33:AO1028)),$A$3:$A$45,1)):INDEX($A$3:$A$45,MATCH((SUM(AO33:AO1028)),$A$3:$A$45,1)+1))</f>
        <v>#N/A</v>
      </c>
      <c r="AQ33" s="99" t="e">
        <f t="shared" si="117"/>
        <v>#N/A</v>
      </c>
      <c r="AR33" s="61">
        <f>SUM('FU Distribution'!AU95:$AU$109)</f>
        <v>0</v>
      </c>
      <c r="AS33" s="98" t="e">
        <f>FORECAST((SUM(AR33:AR1028)),INDEX($B$3:$B$45,MATCH((SUM(AR33:AR1028)),$A$3:$A$45,1)):INDEX($B$3:$B$45,MATCH((SUM(AR33:AR1028)),$A$3:$A$45,1)+1),INDEX($A$3:$A$45,MATCH((SUM(AR33:AR1028)),$A$3:$A$45,1)):INDEX($A$3:$A$45,MATCH((SUM(AR33:AR1028)),$A$3:$A$45,1)+1))</f>
        <v>#N/A</v>
      </c>
      <c r="AT33" s="99" t="e">
        <f t="shared" si="118"/>
        <v>#N/A</v>
      </c>
      <c r="AU33" s="61">
        <f>SUM('FU Distribution'!AW95:$AW$109)+IF('FU Distribution'!$D$112=8,'FU Distribution'!$D$114,0)</f>
        <v>0</v>
      </c>
      <c r="AV33" s="98" t="e">
        <f>FORECAST(AU33,INDEX($B$3:$B$45,MATCH(AU33,$A$3:$A$45,1)):INDEX($B$3:$B$45,MATCH(AU33,$A$3:$A$45,1)+1),INDEX($A$3:$A$45,MATCH(AU33,$A$3:$A$45,1)):INDEX($A$3:$A$45,MATCH(AU33,$A$3:$A$45,1)+1))</f>
        <v>#N/A</v>
      </c>
      <c r="AW33" s="99" t="e">
        <f t="shared" si="119"/>
        <v>#N/A</v>
      </c>
      <c r="AX33" s="61">
        <f>SUM('FU Distribution'!AX95:$AX$109)</f>
        <v>0</v>
      </c>
      <c r="AY33" s="98" t="e">
        <f>FORECAST(AX33,INDEX($B$3:$B$45,MATCH(AX33,$A$3:$A$45,1)):INDEX($B$3:$B$45,MATCH(AX33,$A$3:$A$45,1)+1),INDEX($A$3:$A$45,MATCH(AX33,$A$3:$A$45,1)):INDEX($A$3:$A$45,MATCH(AX33,$A$3:$A$45,1)+1))</f>
        <v>#N/A</v>
      </c>
      <c r="AZ33" s="99" t="e">
        <f t="shared" si="120"/>
        <v>#N/A</v>
      </c>
      <c r="BA33" s="75">
        <f>SUM('FU Distribution'!AZ95:$AZ$109)+IF('FU Distribution'!$D$112=9,'FU Distribution'!$D$114,0)</f>
        <v>0</v>
      </c>
      <c r="BB33" s="76" t="e">
        <f>FORECAST((SUM(BA33:BA1028)),INDEX($B$3:$B$45,MATCH((SUM(BA33:BA1028)),$A$3:$A$45,1)):INDEX($B$3:$B$45,MATCH((SUM(BA33:BA1028)),$A$3:$A$45,1)+1),INDEX($A$3:$A$45,MATCH((SUM(BA33:BA1028)),$A$3:$A$45,1)):INDEX($A$3:$A$45,MATCH((SUM(BA33:BA1028)),$A$3:$A$45,1)+1))</f>
        <v>#N/A</v>
      </c>
      <c r="BC33" s="77" t="e">
        <f t="shared" si="3"/>
        <v>#N/A</v>
      </c>
      <c r="BD33" s="75">
        <f>SUM('FU Distribution'!BA95:$BA$109)</f>
        <v>0</v>
      </c>
      <c r="BE33" s="76" t="e">
        <f>FORECAST((SUM(BD33:BD1028)),INDEX($B$3:$B$45,MATCH((SUM(BD33:BD1028)),$A$3:$A$45,1)):INDEX($B$3:$B$45,MATCH((SUM(BD33:BD1028)),$A$3:$A$45,1)+1),INDEX($A$3:$A$45,MATCH((SUM(BD33:BD1028)),$A$3:$A$45,1)):INDEX($A$3:$A$45,MATCH((SUM(BD33:BD1028)),$A$3:$A$45,1)+1))</f>
        <v>#N/A</v>
      </c>
      <c r="BF33" s="77" t="e">
        <f t="shared" si="4"/>
        <v>#N/A</v>
      </c>
      <c r="BG33" s="61">
        <f>SUM('FU Distribution'!BC95:$BC$109)+IF('FU Distribution'!$D$112=10,'FU Distribution'!$D$114,0)</f>
        <v>0</v>
      </c>
      <c r="BH33" s="62" t="e">
        <f>FORECAST((SUM(BG33:BG1028)),INDEX($B$3:$B$45,MATCH((SUM(BG33:BG1028)),$A$3:$A$45,1)):INDEX($B$3:$B$45,MATCH((SUM(BG33:BG1028)),$A$3:$A$45,1)+1),INDEX($A$3:$A$45,MATCH((SUM(BG33:BG1028)),$A$3:$A$45,1)):INDEX($A$3:$A$45,MATCH((SUM(BG33:BG1028)),$A$3:$A$45,1)+1))</f>
        <v>#N/A</v>
      </c>
      <c r="BI33" s="74" t="e">
        <f t="shared" si="5"/>
        <v>#N/A</v>
      </c>
      <c r="BJ33" s="61">
        <f>SUM('FU Distribution'!BD95:$BD$109)</f>
        <v>0</v>
      </c>
      <c r="BK33" s="62" t="e">
        <f>FORECAST((SUM(BJ33:BJ1028)),INDEX($B$3:$B$45,MATCH((SUM(BJ33:BJ1028)),$A$3:$A$45,1)):INDEX($B$3:$B$45,MATCH((SUM(BJ33:BJ1028)),$A$3:$A$45,1)+1),INDEX($A$3:$A$45,MATCH((SUM(BJ33:BJ1028)),$A$3:$A$45,1)):INDEX($A$3:$A$45,MATCH((SUM(BJ33:BJ1028)),$A$3:$A$45,1)+1))</f>
        <v>#N/A</v>
      </c>
      <c r="BL33" s="74" t="e">
        <f t="shared" si="6"/>
        <v>#N/A</v>
      </c>
      <c r="BM33" s="75">
        <f>SUM('FU Distribution'!BF95:$BF$109)+IF('FU Distribution'!$D$112=11,'FU Distribution'!$D$114,0)</f>
        <v>0</v>
      </c>
      <c r="BN33" s="76" t="e">
        <f>FORECAST((SUM(BM33:BM1028)),INDEX($B$3:$B$45,MATCH((SUM(BM33:BM1028)),$A$3:$A$45,1)):INDEX($B$3:$B$45,MATCH((SUM(BM33:BM1028)),$A$3:$A$45,1)+1),INDEX($A$3:$A$45,MATCH((SUM(BM33:BM1028)),$A$3:$A$45,1)):INDEX($A$3:$A$45,MATCH((SUM(BM33:BM1028)),$A$3:$A$45,1)+1))</f>
        <v>#N/A</v>
      </c>
      <c r="BO33" s="77" t="e">
        <f t="shared" si="7"/>
        <v>#N/A</v>
      </c>
      <c r="BP33" s="75">
        <f>SUM('FU Distribution'!BG95:$BG$109)</f>
        <v>0</v>
      </c>
      <c r="BQ33" s="76" t="e">
        <f>FORECAST((SUM(BP33:BP1028)),INDEX($B$3:$B$45,MATCH((SUM(BP33:BP1028)),$A$3:$A$45,1)):INDEX($B$3:$B$45,MATCH((SUM(BP33:BP1028)),$A$3:$A$45,1)+1),INDEX($A$3:$A$45,MATCH((SUM(BP33:BP1028)),$A$3:$A$45,1)):INDEX($A$3:$A$45,MATCH((SUM(BP33:BP1028)),$A$3:$A$45,1)+1))</f>
        <v>#N/A</v>
      </c>
      <c r="BR33" s="77" t="e">
        <f t="shared" si="8"/>
        <v>#N/A</v>
      </c>
      <c r="BS33" s="61">
        <f>SUM('FU Distribution'!BI95:$BI$109)+IF('FU Distribution'!$D$112=12,'FU Distribution'!$D$114,0)</f>
        <v>0</v>
      </c>
      <c r="BT33" s="62" t="e">
        <f>FORECAST(BS33,INDEX($B$3:$B$45,MATCH(BS33,$A$3:$A$45,1)):INDEX($B$3:$B$45,MATCH(BS33,$A$3:$A$45,1)+1),INDEX($A$3:$A$45,MATCH(BS33,$A$3:$A$45,1)):INDEX($A$3:$A$45,MATCH(BS33,$A$3:$A$45,1)+1))</f>
        <v>#N/A</v>
      </c>
      <c r="BU33" s="74" t="e">
        <f t="shared" si="9"/>
        <v>#N/A</v>
      </c>
      <c r="BV33" s="61">
        <f>SUM('FU Distribution'!BJ95:$BJ$109)</f>
        <v>0</v>
      </c>
      <c r="BW33" s="62" t="e">
        <f>FORECAST(BV33,INDEX($B$3:$B$45,MATCH(BV33,$A$3:$A$45,1)):INDEX($B$3:$B$45,MATCH(BV33,$A$3:$A$45,1)+1),INDEX($A$3:$A$45,MATCH(BV33,$A$3:$A$45,1)):INDEX($A$3:$A$45,MATCH(BV33,$A$3:$A$45,1)+1))</f>
        <v>#N/A</v>
      </c>
      <c r="BX33" s="74" t="e">
        <f t="shared" si="10"/>
        <v>#N/A</v>
      </c>
      <c r="BY33" s="75">
        <f>SUM('FU Distribution'!BL95:$BL$109)+IF('FU Distribution'!$D$112=13,'FU Distribution'!$D$114,0)</f>
        <v>0</v>
      </c>
      <c r="BZ33" s="76" t="e">
        <f>FORECAST(BY33,INDEX($B$3:$B$45,MATCH(BY33,$A$3:$A$45,1)):INDEX($B$3:$B$45,MATCH(BY33,$A$3:$A$45,1)+1),INDEX($A$3:$A$45,MATCH(BY33,$A$3:$A$45,1)):INDEX($A$3:$A$45,MATCH(BY33,$A$3:$A$45,1)+1))</f>
        <v>#N/A</v>
      </c>
      <c r="CA33" s="77" t="e">
        <f t="shared" si="11"/>
        <v>#N/A</v>
      </c>
      <c r="CB33" s="75">
        <f>SUM('FU Distribution'!BM95:$BM$109)</f>
        <v>0</v>
      </c>
      <c r="CC33" s="76" t="e">
        <f>FORECAST(CB33,INDEX($B$3:$B$45,MATCH(CB33,$A$3:$A$45,1)):INDEX($B$3:$B$45,MATCH(CB33,$A$3:$A$45,1)+1),INDEX($A$3:$A$45,MATCH(CB33,$A$3:$A$45,1)):INDEX($A$3:$A$45,MATCH(CB33,$A$3:$A$45,1)+1))</f>
        <v>#N/A</v>
      </c>
      <c r="CD33" s="77" t="e">
        <f t="shared" si="12"/>
        <v>#N/A</v>
      </c>
      <c r="CE33" s="61">
        <f>SUM('FU Distribution'!BO95:$BO$109)+IF('FU Distribution'!$D$112=13,'FU Distribution'!$D$114,0)</f>
        <v>0</v>
      </c>
      <c r="CF33" s="62" t="e">
        <f>FORECAST(CE33,INDEX($B$3:$B$45,MATCH(CE33,$A$3:$A$45,1)):INDEX($B$3:$B$45,MATCH(CE33,$A$3:$A$45,1)+1),INDEX($A$3:$A$45,MATCH(CE33,$A$3:$A$45,1)):INDEX($A$3:$A$45,MATCH(CE33,$A$3:$A$45,1)+1))</f>
        <v>#N/A</v>
      </c>
      <c r="CG33" s="74" t="e">
        <f t="shared" si="13"/>
        <v>#N/A</v>
      </c>
      <c r="CH33" s="61">
        <f>SUM('FU Distribution'!BP95:$BP$109)</f>
        <v>0</v>
      </c>
      <c r="CI33" s="62" t="e">
        <f>FORECAST(CH33,INDEX($B$3:$B$45,MATCH(CH33,$A$3:$A$45,1)):INDEX($B$3:$B$45,MATCH(CH33,$A$3:$A$45,1)+1),INDEX($A$3:$A$45,MATCH(CH33,$A$3:$A$45,1)):INDEX($A$3:$A$45,MATCH(CH33,$A$3:$A$45,1)+1))</f>
        <v>#N/A</v>
      </c>
      <c r="CJ33" s="74" t="e">
        <f t="shared" si="14"/>
        <v>#N/A</v>
      </c>
    </row>
    <row r="34" spans="1:88" x14ac:dyDescent="0.25">
      <c r="A34" s="2">
        <v>700</v>
      </c>
      <c r="B34" s="2">
        <v>170</v>
      </c>
      <c r="C34" s="63"/>
      <c r="D34" s="52">
        <v>30</v>
      </c>
      <c r="E34" s="61">
        <f>SUM('FU Distribution'!AB96:$AB$109)+IF('FU Distribution'!$D$112=1,'FU Distribution'!$D$114,0)</f>
        <v>0</v>
      </c>
      <c r="F34" s="96" t="e">
        <f>FORECAST((SUM(E34:E1028)),INDEX($B$3:$B$45,MATCH((SUM(E34:E1028)),$A$3:$A$45,1)):INDEX($B$3:$B$45,MATCH((SUM(E34:E1028)),$A$3:$A$45,1)+1),INDEX($A$3:$A$45,MATCH((SUM(E34:E1028)),$A$3:$A$45,1)):INDEX($A$3:$A$45,MATCH((SUM(E34:E1028)),$A$3:$A$45,1)+1))</f>
        <v>#N/A</v>
      </c>
      <c r="G34" s="97" t="e">
        <f t="shared" si="107"/>
        <v>#N/A</v>
      </c>
      <c r="H34" s="61">
        <f>SUM('FU Distribution'!AC96:$AC$109)</f>
        <v>0</v>
      </c>
      <c r="I34" s="96" t="e">
        <f>FORECAST((SUM(H34:H1029)),INDEX($B$3:$B$45,MATCH((SUM(H34:H1029)),$A$3:$A$45,1)):INDEX($B$3:$B$45,MATCH((SUM(H34:H1029)),$A$3:$A$45,1)+1),INDEX($A$3:$A$45,MATCH((SUM(H34:H1029)),$A$3:$A$45,1)):INDEX($A$3:$A$45,MATCH((SUM(H34:H1029)),$A$3:$A$45,1)+1))</f>
        <v>#N/A</v>
      </c>
      <c r="J34" s="97" t="e">
        <f t="shared" si="108"/>
        <v>#N/A</v>
      </c>
      <c r="K34" s="75">
        <f>SUM('FU Distribution'!AE96:$AE$109)+IF('FU Distribution'!$D$112=2,'FU Distribution'!$D$114,0)</f>
        <v>0</v>
      </c>
      <c r="L34" s="96" t="e">
        <f>FORECAST((SUM(K34:K1029)),INDEX($B$3:$B$45,MATCH((SUM(K34:K1029)),$A$3:$A$45,1)):INDEX($B$3:$B$45,MATCH((SUM(K34:K1029)),$A$3:$A$45,1)+1),INDEX($A$3:$A$45,MATCH((SUM(K34:K1029)),$A$3:$A$45,1)):INDEX($A$3:$A$45,MATCH((SUM(K34:K1029)),$A$3:$A$45,1)+1))</f>
        <v>#N/A</v>
      </c>
      <c r="M34" s="97" t="e">
        <f t="shared" si="109"/>
        <v>#N/A</v>
      </c>
      <c r="N34" s="75">
        <f>SUM('FU Distribution'!AF96:$AF$109)</f>
        <v>0</v>
      </c>
      <c r="O34" s="96" t="e">
        <f>FORECAST((SUM(N34:N1029)),INDEX($B$3:$B$45,MATCH((SUM(N34:N1029)),$A$3:$A$45,1)):INDEX($B$3:$B$45,MATCH((SUM(N34:N1029)),$A$3:$A$45,1)+1),INDEX($A$3:$A$45,MATCH((SUM(N34:N1029)),$A$3:$A$45,1)):INDEX($A$3:$A$45,MATCH((SUM(N34:N1029)),$A$3:$A$45,1)+1))</f>
        <v>#N/A</v>
      </c>
      <c r="P34" s="97" t="e">
        <f t="shared" si="110"/>
        <v>#N/A</v>
      </c>
      <c r="Q34" s="61">
        <f>SUM('FU Distribution'!AH96:$AH$109)+IF('FU Distribution'!$D$112=3,'FU Distribution'!$D$114,0)</f>
        <v>0</v>
      </c>
      <c r="R34" s="96" t="e">
        <f>FORECAST((SUM(Q34:Q1029)),INDEX($B$3:$B$45,MATCH((SUM(Q34:Q1029)),$A$3:$A$45,1)):INDEX($B$3:$B$45,MATCH((SUM(Q34:Q1029)),$A$3:$A$45,1)+1),INDEX($A$3:$A$45,MATCH((SUM(Q34:Q1029)),$A$3:$A$45,1)):INDEX($A$3:$A$45,MATCH((SUM(Q34:Q1029)),$A$3:$A$45,1)+1))</f>
        <v>#N/A</v>
      </c>
      <c r="S34" s="97" t="e">
        <f t="shared" si="111"/>
        <v>#N/A</v>
      </c>
      <c r="T34" s="61">
        <f>SUM('FU Distribution'!AI96:$AI$109)</f>
        <v>0</v>
      </c>
      <c r="U34" s="96" t="e">
        <f>FORECAST((SUM(T34:T1029)),INDEX($B$3:$B$45,MATCH((SUM(T34:T1029)),$A$3:$A$45,1)):INDEX($B$3:$B$45,MATCH((SUM(T34:T1029)),$A$3:$A$45,1)+1),INDEX($A$3:$A$45,MATCH((SUM(T34:T1029)),$A$3:$A$45,1)):INDEX($A$3:$A$45,MATCH((SUM(T34:T1029)),$A$3:$A$45,1)+1))</f>
        <v>#N/A</v>
      </c>
      <c r="V34" s="97" t="e">
        <f t="shared" si="0"/>
        <v>#N/A</v>
      </c>
      <c r="W34" s="75">
        <f>SUM('FU Distribution'!AK96:$AK$109)+IF('FU Distribution'!$D$112=4,'FU Distribution'!$D$114,0)</f>
        <v>0</v>
      </c>
      <c r="X34" s="96" t="e">
        <f>FORECAST((SUM(W34:W1029)),INDEX($B$3:$B$45,MATCH((SUM(W34:W1029)),$A$3:$A$45,1)):INDEX($B$3:$B$45,MATCH((SUM(W34:W1029)),$A$3:$A$45,1)+1),INDEX($A$3:$A$45,MATCH((SUM(W34:W1029)),$A$3:$A$45,1)):INDEX($A$3:$A$45,MATCH((SUM(W34:W1029)),$A$3:$A$45,1)+1))</f>
        <v>#N/A</v>
      </c>
      <c r="Y34" s="97" t="e">
        <f t="shared" si="1"/>
        <v>#N/A</v>
      </c>
      <c r="Z34" s="75">
        <f>SUM('FU Distribution'!AL96:$AL$109)</f>
        <v>0</v>
      </c>
      <c r="AA34" s="96" t="e">
        <f>FORECAST((SUM(Z34:Z1029)),INDEX($B$3:$B$45,MATCH((SUM(Z34:Z1029)),$A$3:$A$45,1)):INDEX($B$3:$B$45,MATCH((SUM(Z34:Z1029)),$A$3:$A$45,1)+1),INDEX($A$3:$A$45,MATCH((SUM(Z34:Z1029)),$A$3:$A$45,1)):INDEX($A$3:$A$45,MATCH((SUM(Z34:Z1029)),$A$3:$A$45,1)+1))</f>
        <v>#N/A</v>
      </c>
      <c r="AB34" s="97" t="e">
        <f t="shared" si="112"/>
        <v>#N/A</v>
      </c>
      <c r="AC34" s="61">
        <f>SUM('FU Distribution'!AN96:$AN$109)+IF('FU Distribution'!$D$112=5,'FU Distribution'!$D$114,0)</f>
        <v>0</v>
      </c>
      <c r="AD34" s="96" t="e">
        <f>FORECAST((SUM(AC34:AC1029)),INDEX($B$3:$B$45,MATCH((SUM(AC34:AC1029)),$A$3:$A$45,1)):INDEX($B$3:$B$45,MATCH((SUM(AC34:AC1029)),$A$3:$A$45,1)+1),INDEX($A$3:$A$45,MATCH((SUM(AC34:AC1029)),$A$3:$A$45,1)):INDEX($A$3:$A$45,MATCH((SUM(AC34:AC1029)),$A$3:$A$45,1)+1))</f>
        <v>#N/A</v>
      </c>
      <c r="AE34" s="97" t="e">
        <f t="shared" si="113"/>
        <v>#N/A</v>
      </c>
      <c r="AF34" s="61">
        <f>SUM('FU Distribution'!AO96:$AO$109)</f>
        <v>0</v>
      </c>
      <c r="AG34" s="96" t="e">
        <f>FORECAST((SUM(AF34:AF1029)),INDEX($B$3:$B$45,MATCH((SUM(AF34:AF1029)),$A$3:$A$45,1)):INDEX($B$3:$B$45,MATCH((SUM(AF34:AF1029)),$A$3:$A$45,1)+1),INDEX($A$3:$A$45,MATCH((SUM(AF34:AF1029)),$A$3:$A$45,1)):INDEX($A$3:$A$45,MATCH((SUM(AF34:AF1029)),$A$3:$A$45,1)+1))</f>
        <v>#N/A</v>
      </c>
      <c r="AH34" s="97" t="e">
        <f t="shared" si="114"/>
        <v>#N/A</v>
      </c>
      <c r="AI34" s="75">
        <f>SUM('FU Distribution'!AQ96:$AQ$109)+IF('FU Distribution'!$D$112=6,'FU Distribution'!$D$114,0)</f>
        <v>0</v>
      </c>
      <c r="AJ34" s="96" t="e">
        <f>FORECAST((SUM(AI34:AI1029)),INDEX($B$3:$B$45,MATCH((SUM(AI34:AI1029)),$A$3:$A$45,1)):INDEX($B$3:$B$45,MATCH((SUM(AI34:AI1029)),$A$3:$A$45,1)+1),INDEX($A$3:$A$45,MATCH((SUM(AI34:AI1029)),$A$3:$A$45,1)):INDEX($A$3:$A$45,MATCH((SUM(AI34:AI1029)),$A$3:$A$45,1)+1))</f>
        <v>#N/A</v>
      </c>
      <c r="AK34" s="97" t="e">
        <f t="shared" si="115"/>
        <v>#N/A</v>
      </c>
      <c r="AL34" s="75">
        <f>SUM('FU Distribution'!AR96:$AR$109)</f>
        <v>0</v>
      </c>
      <c r="AM34" s="96" t="e">
        <f>FORECAST((SUM(AL34:AL1029)),INDEX($B$3:$B$45,MATCH((SUM(AL34:AL1029)),$A$3:$A$45,1)):INDEX($B$3:$B$45,MATCH((SUM(AL34:AL1029)),$A$3:$A$45,1)+1),INDEX($A$3:$A$45,MATCH((SUM(AL34:AL1029)),$A$3:$A$45,1)):INDEX($A$3:$A$45,MATCH((SUM(AL34:AL1029)),$A$3:$A$45,1)+1))</f>
        <v>#N/A</v>
      </c>
      <c r="AN34" s="97" t="e">
        <f t="shared" si="116"/>
        <v>#N/A</v>
      </c>
      <c r="AO34" s="61">
        <f>SUM('FU Distribution'!AT96:$AT$109)+IF('FU Distribution'!$D$112=7,'FU Distribution'!$D$114,0)</f>
        <v>0</v>
      </c>
      <c r="AP34" s="96" t="e">
        <f>FORECAST((SUM(AO34:AO1029)),INDEX($B$3:$B$45,MATCH((SUM(AO34:AO1029)),$A$3:$A$45,1)):INDEX($B$3:$B$45,MATCH((SUM(AO34:AO1029)),$A$3:$A$45,1)+1),INDEX($A$3:$A$45,MATCH((SUM(AO34:AO1029)),$A$3:$A$45,1)):INDEX($A$3:$A$45,MATCH((SUM(AO34:AO1029)),$A$3:$A$45,1)+1))</f>
        <v>#N/A</v>
      </c>
      <c r="AQ34" s="97" t="e">
        <f t="shared" si="117"/>
        <v>#N/A</v>
      </c>
      <c r="AR34" s="61">
        <f>SUM('FU Distribution'!AU96:$AU$109)</f>
        <v>0</v>
      </c>
      <c r="AS34" s="96" t="e">
        <f>FORECAST((SUM(AR34:AR1029)),INDEX($B$3:$B$45,MATCH((SUM(AR34:AR1029)),$A$3:$A$45,1)):INDEX($B$3:$B$45,MATCH((SUM(AR34:AR1029)),$A$3:$A$45,1)+1),INDEX($A$3:$A$45,MATCH((SUM(AR34:AR1029)),$A$3:$A$45,1)):INDEX($A$3:$A$45,MATCH((SUM(AR34:AR1029)),$A$3:$A$45,1)+1))</f>
        <v>#N/A</v>
      </c>
      <c r="AT34" s="97" t="e">
        <f t="shared" si="118"/>
        <v>#N/A</v>
      </c>
      <c r="AU34" s="61">
        <f>SUM('FU Distribution'!AW96:$AW$109)+IF('FU Distribution'!$D$112=8,'FU Distribution'!$D$114,0)</f>
        <v>0</v>
      </c>
      <c r="AV34" s="98" t="e">
        <f>FORECAST(AU34,INDEX($B$3:$B$45,MATCH(AU34,$A$3:$A$45,1)):INDEX($B$3:$B$45,MATCH(AU34,$A$3:$A$45,1)+1),INDEX($A$3:$A$45,MATCH(AU34,$A$3:$A$45,1)):INDEX($A$3:$A$45,MATCH(AU34,$A$3:$A$45,1)+1))</f>
        <v>#N/A</v>
      </c>
      <c r="AW34" s="97" t="e">
        <f t="shared" si="119"/>
        <v>#N/A</v>
      </c>
      <c r="AX34" s="61">
        <f>SUM('FU Distribution'!AX96:$AX$109)</f>
        <v>0</v>
      </c>
      <c r="AY34" s="98" t="e">
        <f>FORECAST(AX34,INDEX($B$3:$B$45,MATCH(AX34,$A$3:$A$45,1)):INDEX($B$3:$B$45,MATCH(AX34,$A$3:$A$45,1)+1),INDEX($A$3:$A$45,MATCH(AX34,$A$3:$A$45,1)):INDEX($A$3:$A$45,MATCH(AX34,$A$3:$A$45,1)+1))</f>
        <v>#N/A</v>
      </c>
      <c r="AZ34" s="97" t="e">
        <f t="shared" si="120"/>
        <v>#N/A</v>
      </c>
      <c r="BA34" s="75">
        <f>SUM('FU Distribution'!AZ96:$AZ$109)+IF('FU Distribution'!$D$112=9,'FU Distribution'!$D$114,0)</f>
        <v>0</v>
      </c>
      <c r="BB34" s="76" t="e">
        <f>FORECAST((SUM(BA34:BA1029)),INDEX($B$3:$B$45,MATCH((SUM(BA34:BA1029)),$A$3:$A$45,1)):INDEX($B$3:$B$45,MATCH((SUM(BA34:BA1029)),$A$3:$A$45,1)+1),INDEX($A$3:$A$45,MATCH((SUM(BA34:BA1029)),$A$3:$A$45,1)):INDEX($A$3:$A$45,MATCH((SUM(BA34:BA1029)),$A$3:$A$45,1)+1))</f>
        <v>#N/A</v>
      </c>
      <c r="BC34" s="77" t="e">
        <f t="shared" si="3"/>
        <v>#N/A</v>
      </c>
      <c r="BD34" s="75">
        <f>SUM('FU Distribution'!BA96:$BA$109)</f>
        <v>0</v>
      </c>
      <c r="BE34" s="76" t="e">
        <f>FORECAST((SUM(BD34:BD1029)),INDEX($B$3:$B$45,MATCH((SUM(BD34:BD1029)),$A$3:$A$45,1)):INDEX($B$3:$B$45,MATCH((SUM(BD34:BD1029)),$A$3:$A$45,1)+1),INDEX($A$3:$A$45,MATCH((SUM(BD34:BD1029)),$A$3:$A$45,1)):INDEX($A$3:$A$45,MATCH((SUM(BD34:BD1029)),$A$3:$A$45,1)+1))</f>
        <v>#N/A</v>
      </c>
      <c r="BF34" s="77" t="e">
        <f t="shared" si="4"/>
        <v>#N/A</v>
      </c>
      <c r="BG34" s="61">
        <f>SUM('FU Distribution'!BC96:$BC$109)+IF('FU Distribution'!$D$112=10,'FU Distribution'!$D$114,0)</f>
        <v>0</v>
      </c>
      <c r="BH34" s="62" t="e">
        <f>FORECAST((SUM(BG34:BG1029)),INDEX($B$3:$B$45,MATCH((SUM(BG34:BG1029)),$A$3:$A$45,1)):INDEX($B$3:$B$45,MATCH((SUM(BG34:BG1029)),$A$3:$A$45,1)+1),INDEX($A$3:$A$45,MATCH((SUM(BG34:BG1029)),$A$3:$A$45,1)):INDEX($A$3:$A$45,MATCH((SUM(BG34:BG1029)),$A$3:$A$45,1)+1))</f>
        <v>#N/A</v>
      </c>
      <c r="BI34" s="74" t="e">
        <f t="shared" si="5"/>
        <v>#N/A</v>
      </c>
      <c r="BJ34" s="61">
        <f>SUM('FU Distribution'!BD96:$BD$109)</f>
        <v>0</v>
      </c>
      <c r="BK34" s="62" t="e">
        <f>FORECAST((SUM(BJ34:BJ1029)),INDEX($B$3:$B$45,MATCH((SUM(BJ34:BJ1029)),$A$3:$A$45,1)):INDEX($B$3:$B$45,MATCH((SUM(BJ34:BJ1029)),$A$3:$A$45,1)+1),INDEX($A$3:$A$45,MATCH((SUM(BJ34:BJ1029)),$A$3:$A$45,1)):INDEX($A$3:$A$45,MATCH((SUM(BJ34:BJ1029)),$A$3:$A$45,1)+1))</f>
        <v>#N/A</v>
      </c>
      <c r="BL34" s="74" t="e">
        <f t="shared" si="6"/>
        <v>#N/A</v>
      </c>
      <c r="BM34" s="75">
        <f>SUM('FU Distribution'!BF96:$BF$109)+IF('FU Distribution'!$D$112=11,'FU Distribution'!$D$114,0)</f>
        <v>0</v>
      </c>
      <c r="BN34" s="76" t="e">
        <f>FORECAST((SUM(BM34:BM1029)),INDEX($B$3:$B$45,MATCH((SUM(BM34:BM1029)),$A$3:$A$45,1)):INDEX($B$3:$B$45,MATCH((SUM(BM34:BM1029)),$A$3:$A$45,1)+1),INDEX($A$3:$A$45,MATCH((SUM(BM34:BM1029)),$A$3:$A$45,1)):INDEX($A$3:$A$45,MATCH((SUM(BM34:BM1029)),$A$3:$A$45,1)+1))</f>
        <v>#N/A</v>
      </c>
      <c r="BO34" s="77" t="e">
        <f t="shared" si="7"/>
        <v>#N/A</v>
      </c>
      <c r="BP34" s="75">
        <f>SUM('FU Distribution'!BG96:$BG$109)</f>
        <v>0</v>
      </c>
      <c r="BQ34" s="76" t="e">
        <f>FORECAST((SUM(BP34:BP1029)),INDEX($B$3:$B$45,MATCH((SUM(BP34:BP1029)),$A$3:$A$45,1)):INDEX($B$3:$B$45,MATCH((SUM(BP34:BP1029)),$A$3:$A$45,1)+1),INDEX($A$3:$A$45,MATCH((SUM(BP34:BP1029)),$A$3:$A$45,1)):INDEX($A$3:$A$45,MATCH((SUM(BP34:BP1029)),$A$3:$A$45,1)+1))</f>
        <v>#N/A</v>
      </c>
      <c r="BR34" s="77" t="e">
        <f t="shared" si="8"/>
        <v>#N/A</v>
      </c>
      <c r="BS34" s="61">
        <f>SUM('FU Distribution'!BI96:$BI$109)+IF('FU Distribution'!$D$112=12,'FU Distribution'!$D$114,0)</f>
        <v>0</v>
      </c>
      <c r="BT34" s="62" t="e">
        <f>FORECAST(BS34,INDEX($B$3:$B$45,MATCH(BS34,$A$3:$A$45,1)):INDEX($B$3:$B$45,MATCH(BS34,$A$3:$A$45,1)+1),INDEX($A$3:$A$45,MATCH(BS34,$A$3:$A$45,1)):INDEX($A$3:$A$45,MATCH(BS34,$A$3:$A$45,1)+1))</f>
        <v>#N/A</v>
      </c>
      <c r="BU34" s="74" t="e">
        <f t="shared" si="9"/>
        <v>#N/A</v>
      </c>
      <c r="BV34" s="61">
        <f>SUM('FU Distribution'!BJ96:$BJ$109)</f>
        <v>0</v>
      </c>
      <c r="BW34" s="62" t="e">
        <f>FORECAST(BV34,INDEX($B$3:$B$45,MATCH(BV34,$A$3:$A$45,1)):INDEX($B$3:$B$45,MATCH(BV34,$A$3:$A$45,1)+1),INDEX($A$3:$A$45,MATCH(BV34,$A$3:$A$45,1)):INDEX($A$3:$A$45,MATCH(BV34,$A$3:$A$45,1)+1))</f>
        <v>#N/A</v>
      </c>
      <c r="BX34" s="74" t="e">
        <f t="shared" si="10"/>
        <v>#N/A</v>
      </c>
      <c r="BY34" s="75">
        <f>SUM('FU Distribution'!BL96:$BL$109)+IF('FU Distribution'!$D$112=13,'FU Distribution'!$D$114,0)</f>
        <v>0</v>
      </c>
      <c r="BZ34" s="76" t="e">
        <f>FORECAST(BY34,INDEX($B$3:$B$45,MATCH(BY34,$A$3:$A$45,1)):INDEX($B$3:$B$45,MATCH(BY34,$A$3:$A$45,1)+1),INDEX($A$3:$A$45,MATCH(BY34,$A$3:$A$45,1)):INDEX($A$3:$A$45,MATCH(BY34,$A$3:$A$45,1)+1))</f>
        <v>#N/A</v>
      </c>
      <c r="CA34" s="77" t="e">
        <f t="shared" si="11"/>
        <v>#N/A</v>
      </c>
      <c r="CB34" s="75">
        <f>SUM('FU Distribution'!BM96:$BM$109)</f>
        <v>0</v>
      </c>
      <c r="CC34" s="76" t="e">
        <f>FORECAST(CB34,INDEX($B$3:$B$45,MATCH(CB34,$A$3:$A$45,1)):INDEX($B$3:$B$45,MATCH(CB34,$A$3:$A$45,1)+1),INDEX($A$3:$A$45,MATCH(CB34,$A$3:$A$45,1)):INDEX($A$3:$A$45,MATCH(CB34,$A$3:$A$45,1)+1))</f>
        <v>#N/A</v>
      </c>
      <c r="CD34" s="77" t="e">
        <f t="shared" si="12"/>
        <v>#N/A</v>
      </c>
      <c r="CE34" s="61">
        <f>SUM('FU Distribution'!BO96:$BO$109)+IF('FU Distribution'!$D$112=13,'FU Distribution'!$D$114,0)</f>
        <v>0</v>
      </c>
      <c r="CF34" s="62" t="e">
        <f>FORECAST(CE34,INDEX($B$3:$B$45,MATCH(CE34,$A$3:$A$45,1)):INDEX($B$3:$B$45,MATCH(CE34,$A$3:$A$45,1)+1),INDEX($A$3:$A$45,MATCH(CE34,$A$3:$A$45,1)):INDEX($A$3:$A$45,MATCH(CE34,$A$3:$A$45,1)+1))</f>
        <v>#N/A</v>
      </c>
      <c r="CG34" s="74" t="e">
        <f t="shared" si="13"/>
        <v>#N/A</v>
      </c>
      <c r="CH34" s="61">
        <f>SUM('FU Distribution'!BP96:$BP$109)</f>
        <v>0</v>
      </c>
      <c r="CI34" s="62" t="e">
        <f>FORECAST(CH34,INDEX($B$3:$B$45,MATCH(CH34,$A$3:$A$45,1)):INDEX($B$3:$B$45,MATCH(CH34,$A$3:$A$45,1)+1),INDEX($A$3:$A$45,MATCH(CH34,$A$3:$A$45,1)):INDEX($A$3:$A$45,MATCH(CH34,$A$3:$A$45,1)+1))</f>
        <v>#N/A</v>
      </c>
      <c r="CJ34" s="74" t="e">
        <f t="shared" si="14"/>
        <v>#N/A</v>
      </c>
    </row>
    <row r="35" spans="1:88" x14ac:dyDescent="0.25">
      <c r="A35" s="2">
        <v>800</v>
      </c>
      <c r="B35" s="2">
        <v>180</v>
      </c>
      <c r="C35" s="63"/>
      <c r="D35" s="52">
        <v>31</v>
      </c>
      <c r="E35" s="61">
        <f>SUM('FU Distribution'!AB97:$AB$109)+IF('FU Distribution'!$D$112=1,'FU Distribution'!$D$114,0)</f>
        <v>0</v>
      </c>
      <c r="F35" s="98" t="e">
        <f>FORECAST((SUM(E35:E1030)),INDEX($B$3:$B$45,MATCH((SUM(E35:E1030)),$A$3:$A$45,1)):INDEX($B$3:$B$45,MATCH((SUM(E35:E1030)),$A$3:$A$45,1)+1),INDEX($A$3:$A$45,MATCH((SUM(E35:E1030)),$A$3:$A$45,1)):INDEX($A$3:$A$45,MATCH((SUM(E35:E1030)),$A$3:$A$45,1)+1))</f>
        <v>#N/A</v>
      </c>
      <c r="G35" s="99" t="e">
        <f t="shared" si="107"/>
        <v>#N/A</v>
      </c>
      <c r="H35" s="61">
        <f>SUM('FU Distribution'!AC97:$AC$109)</f>
        <v>0</v>
      </c>
      <c r="I35" s="98" t="e">
        <f>FORECAST((SUM(H35:H1030)),INDEX($B$3:$B$45,MATCH((SUM(H35:H1030)),$A$3:$A$45,1)):INDEX($B$3:$B$45,MATCH((SUM(H35:H1030)),$A$3:$A$45,1)+1),INDEX($A$3:$A$45,MATCH((SUM(H35:H1030)),$A$3:$A$45,1)):INDEX($A$3:$A$45,MATCH((SUM(H35:H1030)),$A$3:$A$45,1)+1))</f>
        <v>#N/A</v>
      </c>
      <c r="J35" s="99" t="e">
        <f t="shared" si="108"/>
        <v>#N/A</v>
      </c>
      <c r="K35" s="75">
        <f>SUM('FU Distribution'!AE97:$AE$109)+IF('FU Distribution'!$D$112=2,'FU Distribution'!$D$114,0)</f>
        <v>0</v>
      </c>
      <c r="L35" s="100" t="e">
        <f>FORECAST((SUM(K35:K1030)),INDEX($B$3:$B$45,MATCH((SUM(K35:K1030)),$A$3:$A$45,1)):INDEX($B$3:$B$45,MATCH((SUM(K35:K1030)),$A$3:$A$45,1)+1),INDEX($A$3:$A$45,MATCH((SUM(K35:K1030)),$A$3:$A$45,1)):INDEX($A$3:$A$45,MATCH((SUM(K35:K1030)),$A$3:$A$45,1)+1))</f>
        <v>#N/A</v>
      </c>
      <c r="M35" s="101" t="e">
        <f t="shared" si="109"/>
        <v>#N/A</v>
      </c>
      <c r="N35" s="75">
        <f>SUM('FU Distribution'!AF97:$AF$109)</f>
        <v>0</v>
      </c>
      <c r="O35" s="100" t="e">
        <f>FORECAST((SUM(N35:N1030)),INDEX($B$3:$B$45,MATCH((SUM(N35:N1030)),$A$3:$A$45,1)):INDEX($B$3:$B$45,MATCH((SUM(N35:N1030)),$A$3:$A$45,1)+1),INDEX($A$3:$A$45,MATCH((SUM(N35:N1030)),$A$3:$A$45,1)):INDEX($A$3:$A$45,MATCH((SUM(N35:N1030)),$A$3:$A$45,1)+1))</f>
        <v>#N/A</v>
      </c>
      <c r="P35" s="101" t="e">
        <f t="shared" si="110"/>
        <v>#N/A</v>
      </c>
      <c r="Q35" s="61">
        <f>SUM('FU Distribution'!AH97:$AH$109)+IF('FU Distribution'!$D$112=3,'FU Distribution'!$D$114,0)</f>
        <v>0</v>
      </c>
      <c r="R35" s="98" t="e">
        <f>FORECAST((SUM(Q35:Q1030)),INDEX($B$3:$B$45,MATCH((SUM(Q35:Q1030)),$A$3:$A$45,1)):INDEX($B$3:$B$45,MATCH((SUM(Q35:Q1030)),$A$3:$A$45,1)+1),INDEX($A$3:$A$45,MATCH((SUM(Q35:Q1030)),$A$3:$A$45,1)):INDEX($A$3:$A$45,MATCH((SUM(Q35:Q1030)),$A$3:$A$45,1)+1))</f>
        <v>#N/A</v>
      </c>
      <c r="S35" s="99" t="e">
        <f t="shared" si="111"/>
        <v>#N/A</v>
      </c>
      <c r="T35" s="61">
        <f>SUM('FU Distribution'!AI97:$AI$109)</f>
        <v>0</v>
      </c>
      <c r="U35" s="98" t="e">
        <f>FORECAST((SUM(T35:T1030)),INDEX($B$3:$B$45,MATCH((SUM(T35:T1030)),$A$3:$A$45,1)):INDEX($B$3:$B$45,MATCH((SUM(T35:T1030)),$A$3:$A$45,1)+1),INDEX($A$3:$A$45,MATCH((SUM(T35:T1030)),$A$3:$A$45,1)):INDEX($A$3:$A$45,MATCH((SUM(T35:T1030)),$A$3:$A$45,1)+1))</f>
        <v>#N/A</v>
      </c>
      <c r="V35" s="99" t="e">
        <f t="shared" si="0"/>
        <v>#N/A</v>
      </c>
      <c r="W35" s="75">
        <f>SUM('FU Distribution'!AK97:$AK$109)+IF('FU Distribution'!$D$112=4,'FU Distribution'!$D$114,0)</f>
        <v>0</v>
      </c>
      <c r="X35" s="100" t="e">
        <f>FORECAST((SUM(W35:W1030)),INDEX($B$3:$B$45,MATCH((SUM(W35:W1030)),$A$3:$A$45,1)):INDEX($B$3:$B$45,MATCH((SUM(W35:W1030)),$A$3:$A$45,1)+1),INDEX($A$3:$A$45,MATCH((SUM(W35:W1030)),$A$3:$A$45,1)):INDEX($A$3:$A$45,MATCH((SUM(W35:W1030)),$A$3:$A$45,1)+1))</f>
        <v>#N/A</v>
      </c>
      <c r="Y35" s="101" t="e">
        <f t="shared" si="1"/>
        <v>#N/A</v>
      </c>
      <c r="Z35" s="75">
        <f>SUM('FU Distribution'!AL97:$AL$109)</f>
        <v>0</v>
      </c>
      <c r="AA35" s="100" t="e">
        <f>FORECAST((SUM(Z35:Z1030)),INDEX($B$3:$B$45,MATCH((SUM(Z35:Z1030)),$A$3:$A$45,1)):INDEX($B$3:$B$45,MATCH((SUM(Z35:Z1030)),$A$3:$A$45,1)+1),INDEX($A$3:$A$45,MATCH((SUM(Z35:Z1030)),$A$3:$A$45,1)):INDEX($A$3:$A$45,MATCH((SUM(Z35:Z1030)),$A$3:$A$45,1)+1))</f>
        <v>#N/A</v>
      </c>
      <c r="AB35" s="101" t="e">
        <f t="shared" si="112"/>
        <v>#N/A</v>
      </c>
      <c r="AC35" s="61">
        <f>SUM('FU Distribution'!AN97:$AN$109)+IF('FU Distribution'!$D$112=5,'FU Distribution'!$D$114,0)</f>
        <v>0</v>
      </c>
      <c r="AD35" s="98" t="e">
        <f>FORECAST((SUM(AC35:AC1030)),INDEX($B$3:$B$45,MATCH((SUM(AC35:AC1030)),$A$3:$A$45,1)):INDEX($B$3:$B$45,MATCH((SUM(AC35:AC1030)),$A$3:$A$45,1)+1),INDEX($A$3:$A$45,MATCH((SUM(AC35:AC1030)),$A$3:$A$45,1)):INDEX($A$3:$A$45,MATCH((SUM(AC35:AC1030)),$A$3:$A$45,1)+1))</f>
        <v>#N/A</v>
      </c>
      <c r="AE35" s="99" t="e">
        <f t="shared" si="113"/>
        <v>#N/A</v>
      </c>
      <c r="AF35" s="61">
        <f>SUM('FU Distribution'!AO97:$AO$109)</f>
        <v>0</v>
      </c>
      <c r="AG35" s="98" t="e">
        <f>FORECAST((SUM(AF35:AF1030)),INDEX($B$3:$B$45,MATCH((SUM(AF35:AF1030)),$A$3:$A$45,1)):INDEX($B$3:$B$45,MATCH((SUM(AF35:AF1030)),$A$3:$A$45,1)+1),INDEX($A$3:$A$45,MATCH((SUM(AF35:AF1030)),$A$3:$A$45,1)):INDEX($A$3:$A$45,MATCH((SUM(AF35:AF1030)),$A$3:$A$45,1)+1))</f>
        <v>#N/A</v>
      </c>
      <c r="AH35" s="99" t="e">
        <f t="shared" si="114"/>
        <v>#N/A</v>
      </c>
      <c r="AI35" s="75">
        <f>SUM('FU Distribution'!AQ97:$AQ$109)+IF('FU Distribution'!$D$112=6,'FU Distribution'!$D$114,0)</f>
        <v>0</v>
      </c>
      <c r="AJ35" s="100" t="e">
        <f>FORECAST((SUM(AI35:AI1030)),INDEX($B$3:$B$45,MATCH((SUM(AI35:AI1030)),$A$3:$A$45,1)):INDEX($B$3:$B$45,MATCH((SUM(AI35:AI1030)),$A$3:$A$45,1)+1),INDEX($A$3:$A$45,MATCH((SUM(AI35:AI1030)),$A$3:$A$45,1)):INDEX($A$3:$A$45,MATCH((SUM(AI35:AI1030)),$A$3:$A$45,1)+1))</f>
        <v>#N/A</v>
      </c>
      <c r="AK35" s="101" t="e">
        <f t="shared" si="115"/>
        <v>#N/A</v>
      </c>
      <c r="AL35" s="75">
        <f>SUM('FU Distribution'!AR97:$AR$109)</f>
        <v>0</v>
      </c>
      <c r="AM35" s="100" t="e">
        <f>FORECAST((SUM(AL35:AL1030)),INDEX($B$3:$B$45,MATCH((SUM(AL35:AL1030)),$A$3:$A$45,1)):INDEX($B$3:$B$45,MATCH((SUM(AL35:AL1030)),$A$3:$A$45,1)+1),INDEX($A$3:$A$45,MATCH((SUM(AL35:AL1030)),$A$3:$A$45,1)):INDEX($A$3:$A$45,MATCH((SUM(AL35:AL1030)),$A$3:$A$45,1)+1))</f>
        <v>#N/A</v>
      </c>
      <c r="AN35" s="101" t="e">
        <f t="shared" si="116"/>
        <v>#N/A</v>
      </c>
      <c r="AO35" s="61">
        <f>SUM('FU Distribution'!AT97:$AT$109)+IF('FU Distribution'!$D$112=7,'FU Distribution'!$D$114,0)</f>
        <v>0</v>
      </c>
      <c r="AP35" s="98" t="e">
        <f>FORECAST((SUM(AO35:AO1030)),INDEX($B$3:$B$45,MATCH((SUM(AO35:AO1030)),$A$3:$A$45,1)):INDEX($B$3:$B$45,MATCH((SUM(AO35:AO1030)),$A$3:$A$45,1)+1),INDEX($A$3:$A$45,MATCH((SUM(AO35:AO1030)),$A$3:$A$45,1)):INDEX($A$3:$A$45,MATCH((SUM(AO35:AO1030)),$A$3:$A$45,1)+1))</f>
        <v>#N/A</v>
      </c>
      <c r="AQ35" s="99" t="e">
        <f t="shared" si="117"/>
        <v>#N/A</v>
      </c>
      <c r="AR35" s="61">
        <f>SUM('FU Distribution'!AU97:$AU$109)</f>
        <v>0</v>
      </c>
      <c r="AS35" s="98" t="e">
        <f>FORECAST((SUM(AR35:AR1030)),INDEX($B$3:$B$45,MATCH((SUM(AR35:AR1030)),$A$3:$A$45,1)):INDEX($B$3:$B$45,MATCH((SUM(AR35:AR1030)),$A$3:$A$45,1)+1),INDEX($A$3:$A$45,MATCH((SUM(AR35:AR1030)),$A$3:$A$45,1)):INDEX($A$3:$A$45,MATCH((SUM(AR35:AR1030)),$A$3:$A$45,1)+1))</f>
        <v>#N/A</v>
      </c>
      <c r="AT35" s="99" t="e">
        <f t="shared" si="118"/>
        <v>#N/A</v>
      </c>
      <c r="AU35" s="61">
        <f>SUM('FU Distribution'!AW97:$AW$109)+IF('FU Distribution'!$D$112=8,'FU Distribution'!$D$114,0)</f>
        <v>0</v>
      </c>
      <c r="AV35" s="98" t="e">
        <f>FORECAST(AU35,INDEX($B$3:$B$45,MATCH(AU35,$A$3:$A$45,1)):INDEX($B$3:$B$45,MATCH(AU35,$A$3:$A$45,1)+1),INDEX($A$3:$A$45,MATCH(AU35,$A$3:$A$45,1)):INDEX($A$3:$A$45,MATCH(AU35,$A$3:$A$45,1)+1))</f>
        <v>#N/A</v>
      </c>
      <c r="AW35" s="99" t="e">
        <f t="shared" si="119"/>
        <v>#N/A</v>
      </c>
      <c r="AX35" s="61">
        <f>SUM('FU Distribution'!AX97:$AX$109)</f>
        <v>0</v>
      </c>
      <c r="AY35" s="98" t="e">
        <f>FORECAST(AX35,INDEX($B$3:$B$45,MATCH(AX35,$A$3:$A$45,1)):INDEX($B$3:$B$45,MATCH(AX35,$A$3:$A$45,1)+1),INDEX($A$3:$A$45,MATCH(AX35,$A$3:$A$45,1)):INDEX($A$3:$A$45,MATCH(AX35,$A$3:$A$45,1)+1))</f>
        <v>#N/A</v>
      </c>
      <c r="AZ35" s="99" t="e">
        <f t="shared" si="120"/>
        <v>#N/A</v>
      </c>
      <c r="BA35" s="75">
        <f>SUM('FU Distribution'!AZ97:$AZ$109)+IF('FU Distribution'!$D$112=9,'FU Distribution'!$D$114,0)</f>
        <v>0</v>
      </c>
      <c r="BB35" s="76" t="e">
        <f>FORECAST((SUM(BA35:BA1030)),INDEX($B$3:$B$45,MATCH((SUM(BA35:BA1030)),$A$3:$A$45,1)):INDEX($B$3:$B$45,MATCH((SUM(BA35:BA1030)),$A$3:$A$45,1)+1),INDEX($A$3:$A$45,MATCH((SUM(BA35:BA1030)),$A$3:$A$45,1)):INDEX($A$3:$A$45,MATCH((SUM(BA35:BA1030)),$A$3:$A$45,1)+1))</f>
        <v>#N/A</v>
      </c>
      <c r="BC35" s="77" t="e">
        <f t="shared" si="3"/>
        <v>#N/A</v>
      </c>
      <c r="BD35" s="75">
        <f>SUM('FU Distribution'!BA97:$BA$109)</f>
        <v>0</v>
      </c>
      <c r="BE35" s="76" t="e">
        <f>FORECAST((SUM(BD35:BD1030)),INDEX($B$3:$B$45,MATCH((SUM(BD35:BD1030)),$A$3:$A$45,1)):INDEX($B$3:$B$45,MATCH((SUM(BD35:BD1030)),$A$3:$A$45,1)+1),INDEX($A$3:$A$45,MATCH((SUM(BD35:BD1030)),$A$3:$A$45,1)):INDEX($A$3:$A$45,MATCH((SUM(BD35:BD1030)),$A$3:$A$45,1)+1))</f>
        <v>#N/A</v>
      </c>
      <c r="BF35" s="77" t="e">
        <f t="shared" si="4"/>
        <v>#N/A</v>
      </c>
      <c r="BG35" s="61">
        <f>SUM('FU Distribution'!BC97:$BC$109)+IF('FU Distribution'!$D$112=10,'FU Distribution'!$D$114,0)</f>
        <v>0</v>
      </c>
      <c r="BH35" s="62" t="e">
        <f>FORECAST((SUM(BG35:BG1030)),INDEX($B$3:$B$45,MATCH((SUM(BG35:BG1030)),$A$3:$A$45,1)):INDEX($B$3:$B$45,MATCH((SUM(BG35:BG1030)),$A$3:$A$45,1)+1),INDEX($A$3:$A$45,MATCH((SUM(BG35:BG1030)),$A$3:$A$45,1)):INDEX($A$3:$A$45,MATCH((SUM(BG35:BG1030)),$A$3:$A$45,1)+1))</f>
        <v>#N/A</v>
      </c>
      <c r="BI35" s="74" t="e">
        <f t="shared" si="5"/>
        <v>#N/A</v>
      </c>
      <c r="BJ35" s="61">
        <f>SUM('FU Distribution'!BD97:$BD$109)</f>
        <v>0</v>
      </c>
      <c r="BK35" s="62" t="e">
        <f>FORECAST((SUM(BJ35:BJ1030)),INDEX($B$3:$B$45,MATCH((SUM(BJ35:BJ1030)),$A$3:$A$45,1)):INDEX($B$3:$B$45,MATCH((SUM(BJ35:BJ1030)),$A$3:$A$45,1)+1),INDEX($A$3:$A$45,MATCH((SUM(BJ35:BJ1030)),$A$3:$A$45,1)):INDEX($A$3:$A$45,MATCH((SUM(BJ35:BJ1030)),$A$3:$A$45,1)+1))</f>
        <v>#N/A</v>
      </c>
      <c r="BL35" s="74" t="e">
        <f t="shared" si="6"/>
        <v>#N/A</v>
      </c>
      <c r="BM35" s="75">
        <f>SUM('FU Distribution'!BF97:$BF$109)+IF('FU Distribution'!$D$112=11,'FU Distribution'!$D$114,0)</f>
        <v>0</v>
      </c>
      <c r="BN35" s="76" t="e">
        <f>FORECAST((SUM(BM35:BM1030)),INDEX($B$3:$B$45,MATCH((SUM(BM35:BM1030)),$A$3:$A$45,1)):INDEX($B$3:$B$45,MATCH((SUM(BM35:BM1030)),$A$3:$A$45,1)+1),INDEX($A$3:$A$45,MATCH((SUM(BM35:BM1030)),$A$3:$A$45,1)):INDEX($A$3:$A$45,MATCH((SUM(BM35:BM1030)),$A$3:$A$45,1)+1))</f>
        <v>#N/A</v>
      </c>
      <c r="BO35" s="77" t="e">
        <f t="shared" si="7"/>
        <v>#N/A</v>
      </c>
      <c r="BP35" s="75">
        <f>SUM('FU Distribution'!BG97:$BG$109)</f>
        <v>0</v>
      </c>
      <c r="BQ35" s="76" t="e">
        <f>FORECAST((SUM(BP35:BP1030)),INDEX($B$3:$B$45,MATCH((SUM(BP35:BP1030)),$A$3:$A$45,1)):INDEX($B$3:$B$45,MATCH((SUM(BP35:BP1030)),$A$3:$A$45,1)+1),INDEX($A$3:$A$45,MATCH((SUM(BP35:BP1030)),$A$3:$A$45,1)):INDEX($A$3:$A$45,MATCH((SUM(BP35:BP1030)),$A$3:$A$45,1)+1))</f>
        <v>#N/A</v>
      </c>
      <c r="BR35" s="77" t="e">
        <f t="shared" si="8"/>
        <v>#N/A</v>
      </c>
      <c r="BS35" s="61">
        <f>SUM('FU Distribution'!BI97:$BI$109)+IF('FU Distribution'!$D$112=12,'FU Distribution'!$D$114,0)</f>
        <v>0</v>
      </c>
      <c r="BT35" s="62" t="e">
        <f>FORECAST(BS35,INDEX($B$3:$B$45,MATCH(BS35,$A$3:$A$45,1)):INDEX($B$3:$B$45,MATCH(BS35,$A$3:$A$45,1)+1),INDEX($A$3:$A$45,MATCH(BS35,$A$3:$A$45,1)):INDEX($A$3:$A$45,MATCH(BS35,$A$3:$A$45,1)+1))</f>
        <v>#N/A</v>
      </c>
      <c r="BU35" s="74" t="e">
        <f t="shared" si="9"/>
        <v>#N/A</v>
      </c>
      <c r="BV35" s="61">
        <f>SUM('FU Distribution'!BJ97:$BJ$109)</f>
        <v>0</v>
      </c>
      <c r="BW35" s="62" t="e">
        <f>FORECAST(BV35,INDEX($B$3:$B$45,MATCH(BV35,$A$3:$A$45,1)):INDEX($B$3:$B$45,MATCH(BV35,$A$3:$A$45,1)+1),INDEX($A$3:$A$45,MATCH(BV35,$A$3:$A$45,1)):INDEX($A$3:$A$45,MATCH(BV35,$A$3:$A$45,1)+1))</f>
        <v>#N/A</v>
      </c>
      <c r="BX35" s="74" t="e">
        <f t="shared" si="10"/>
        <v>#N/A</v>
      </c>
      <c r="BY35" s="75">
        <f>SUM('FU Distribution'!BL97:$BL$109)+IF('FU Distribution'!$D$112=13,'FU Distribution'!$D$114,0)</f>
        <v>0</v>
      </c>
      <c r="BZ35" s="76" t="e">
        <f>FORECAST(BY35,INDEX($B$3:$B$45,MATCH(BY35,$A$3:$A$45,1)):INDEX($B$3:$B$45,MATCH(BY35,$A$3:$A$45,1)+1),INDEX($A$3:$A$45,MATCH(BY35,$A$3:$A$45,1)):INDEX($A$3:$A$45,MATCH(BY35,$A$3:$A$45,1)+1))</f>
        <v>#N/A</v>
      </c>
      <c r="CA35" s="77" t="e">
        <f t="shared" si="11"/>
        <v>#N/A</v>
      </c>
      <c r="CB35" s="75">
        <f>SUM('FU Distribution'!BM97:$BM$109)</f>
        <v>0</v>
      </c>
      <c r="CC35" s="76" t="e">
        <f>FORECAST(CB35,INDEX($B$3:$B$45,MATCH(CB35,$A$3:$A$45,1)):INDEX($B$3:$B$45,MATCH(CB35,$A$3:$A$45,1)+1),INDEX($A$3:$A$45,MATCH(CB35,$A$3:$A$45,1)):INDEX($A$3:$A$45,MATCH(CB35,$A$3:$A$45,1)+1))</f>
        <v>#N/A</v>
      </c>
      <c r="CD35" s="77" t="e">
        <f t="shared" si="12"/>
        <v>#N/A</v>
      </c>
      <c r="CE35" s="61">
        <f>SUM('FU Distribution'!BO97:$BO$109)+IF('FU Distribution'!$D$112=13,'FU Distribution'!$D$114,0)</f>
        <v>0</v>
      </c>
      <c r="CF35" s="62" t="e">
        <f>FORECAST(CE35,INDEX($B$3:$B$45,MATCH(CE35,$A$3:$A$45,1)):INDEX($B$3:$B$45,MATCH(CE35,$A$3:$A$45,1)+1),INDEX($A$3:$A$45,MATCH(CE35,$A$3:$A$45,1)):INDEX($A$3:$A$45,MATCH(CE35,$A$3:$A$45,1)+1))</f>
        <v>#N/A</v>
      </c>
      <c r="CG35" s="74" t="e">
        <f t="shared" si="13"/>
        <v>#N/A</v>
      </c>
      <c r="CH35" s="61">
        <f>SUM('FU Distribution'!BP97:$BP$109)</f>
        <v>0</v>
      </c>
      <c r="CI35" s="62" t="e">
        <f>FORECAST(CH35,INDEX($B$3:$B$45,MATCH(CH35,$A$3:$A$45,1)):INDEX($B$3:$B$45,MATCH(CH35,$A$3:$A$45,1)+1),INDEX($A$3:$A$45,MATCH(CH35,$A$3:$A$45,1)):INDEX($A$3:$A$45,MATCH(CH35,$A$3:$A$45,1)+1))</f>
        <v>#N/A</v>
      </c>
      <c r="CJ35" s="74" t="e">
        <f t="shared" si="14"/>
        <v>#N/A</v>
      </c>
    </row>
    <row r="36" spans="1:88" x14ac:dyDescent="0.25">
      <c r="A36" s="2">
        <v>900</v>
      </c>
      <c r="B36" s="2">
        <v>200</v>
      </c>
      <c r="C36" s="63"/>
      <c r="D36" s="52">
        <v>32</v>
      </c>
      <c r="E36" s="61">
        <f>SUM('FU Distribution'!AB98:$AB$109)+IF('FU Distribution'!$D$112=1,'FU Distribution'!$D$114,0)</f>
        <v>0</v>
      </c>
      <c r="F36" s="96" t="e">
        <f>FORECAST((SUM(E36:E1030)),INDEX($B$3:$B$45,MATCH((SUM(E36:E1030)),$A$3:$A$45,1)):INDEX($B$3:$B$45,MATCH((SUM(E36:E1030)),$A$3:$A$45,1)+1),INDEX($A$3:$A$45,MATCH((SUM(E36:E1030)),$A$3:$A$45,1)):INDEX($A$3:$A$45,MATCH((SUM(E36:E1030)),$A$3:$A$45,1)+1))</f>
        <v>#N/A</v>
      </c>
      <c r="G36" s="97" t="e">
        <f t="shared" si="107"/>
        <v>#N/A</v>
      </c>
      <c r="H36" s="61">
        <f>SUM('FU Distribution'!AC98:$AC$109)</f>
        <v>0</v>
      </c>
      <c r="I36" s="96" t="e">
        <f>FORECAST((SUM(H36:H1031)),INDEX($B$3:$B$45,MATCH((SUM(H36:H1031)),$A$3:$A$45,1)):INDEX($B$3:$B$45,MATCH((SUM(H36:H1031)),$A$3:$A$45,1)+1),INDEX($A$3:$A$45,MATCH((SUM(H36:H1031)),$A$3:$A$45,1)):INDEX($A$3:$A$45,MATCH((SUM(H36:H1031)),$A$3:$A$45,1)+1))</f>
        <v>#N/A</v>
      </c>
      <c r="J36" s="97" t="e">
        <f t="shared" si="108"/>
        <v>#N/A</v>
      </c>
      <c r="K36" s="75">
        <f>SUM('FU Distribution'!AE98:$AE$109)+IF('FU Distribution'!$D$112=2,'FU Distribution'!$D$114,0)</f>
        <v>0</v>
      </c>
      <c r="L36" s="96" t="e">
        <f>FORECAST((SUM(K36:K1031)),INDEX($B$3:$B$45,MATCH((SUM(K36:K1031)),$A$3:$A$45,1)):INDEX($B$3:$B$45,MATCH((SUM(K36:K1031)),$A$3:$A$45,1)+1),INDEX($A$3:$A$45,MATCH((SUM(K36:K1031)),$A$3:$A$45,1)):INDEX($A$3:$A$45,MATCH((SUM(K36:K1031)),$A$3:$A$45,1)+1))</f>
        <v>#N/A</v>
      </c>
      <c r="M36" s="97" t="e">
        <f t="shared" si="109"/>
        <v>#N/A</v>
      </c>
      <c r="N36" s="75">
        <f>SUM('FU Distribution'!AF98:$AF$109)</f>
        <v>0</v>
      </c>
      <c r="O36" s="96" t="e">
        <f>FORECAST((SUM(N36:N1031)),INDEX($B$3:$B$45,MATCH((SUM(N36:N1031)),$A$3:$A$45,1)):INDEX($B$3:$B$45,MATCH((SUM(N36:N1031)),$A$3:$A$45,1)+1),INDEX($A$3:$A$45,MATCH((SUM(N36:N1031)),$A$3:$A$45,1)):INDEX($A$3:$A$45,MATCH((SUM(N36:N1031)),$A$3:$A$45,1)+1))</f>
        <v>#N/A</v>
      </c>
      <c r="P36" s="97" t="e">
        <f t="shared" si="110"/>
        <v>#N/A</v>
      </c>
      <c r="Q36" s="61">
        <f>SUM('FU Distribution'!AH98:$AH$109)+IF('FU Distribution'!$D$112=3,'FU Distribution'!$D$114,0)</f>
        <v>0</v>
      </c>
      <c r="R36" s="96" t="e">
        <f>FORECAST((SUM(Q36:Q1031)),INDEX($B$3:$B$45,MATCH((SUM(Q36:Q1031)),$A$3:$A$45,1)):INDEX($B$3:$B$45,MATCH((SUM(Q36:Q1031)),$A$3:$A$45,1)+1),INDEX($A$3:$A$45,MATCH((SUM(Q36:Q1031)),$A$3:$A$45,1)):INDEX($A$3:$A$45,MATCH((SUM(Q36:Q1031)),$A$3:$A$45,1)+1))</f>
        <v>#N/A</v>
      </c>
      <c r="S36" s="97" t="e">
        <f t="shared" si="111"/>
        <v>#N/A</v>
      </c>
      <c r="T36" s="61">
        <f>SUM('FU Distribution'!AI98:$AI$109)</f>
        <v>0</v>
      </c>
      <c r="U36" s="96" t="e">
        <f>FORECAST((SUM(T36:T1031)),INDEX($B$3:$B$45,MATCH((SUM(T36:T1031)),$A$3:$A$45,1)):INDEX($B$3:$B$45,MATCH((SUM(T36:T1031)),$A$3:$A$45,1)+1),INDEX($A$3:$A$45,MATCH((SUM(T36:T1031)),$A$3:$A$45,1)):INDEX($A$3:$A$45,MATCH((SUM(T36:T1031)),$A$3:$A$45,1)+1))</f>
        <v>#N/A</v>
      </c>
      <c r="V36" s="97" t="e">
        <f t="shared" si="0"/>
        <v>#N/A</v>
      </c>
      <c r="W36" s="75">
        <f>SUM('FU Distribution'!AK98:$AK$109)+IF('FU Distribution'!$D$112=4,'FU Distribution'!$D$114,0)</f>
        <v>0</v>
      </c>
      <c r="X36" s="96" t="e">
        <f>FORECAST((SUM(W36:W1031)),INDEX($B$3:$B$45,MATCH((SUM(W36:W1031)),$A$3:$A$45,1)):INDEX($B$3:$B$45,MATCH((SUM(W36:W1031)),$A$3:$A$45,1)+1),INDEX($A$3:$A$45,MATCH((SUM(W36:W1031)),$A$3:$A$45,1)):INDEX($A$3:$A$45,MATCH((SUM(W36:W1031)),$A$3:$A$45,1)+1))</f>
        <v>#N/A</v>
      </c>
      <c r="Y36" s="97" t="e">
        <f t="shared" si="1"/>
        <v>#N/A</v>
      </c>
      <c r="Z36" s="75">
        <f>SUM('FU Distribution'!AL98:$AL$109)</f>
        <v>0</v>
      </c>
      <c r="AA36" s="96" t="e">
        <f>FORECAST((SUM(Z36:Z1031)),INDEX($B$3:$B$45,MATCH((SUM(Z36:Z1031)),$A$3:$A$45,1)):INDEX($B$3:$B$45,MATCH((SUM(Z36:Z1031)),$A$3:$A$45,1)+1),INDEX($A$3:$A$45,MATCH((SUM(Z36:Z1031)),$A$3:$A$45,1)):INDEX($A$3:$A$45,MATCH((SUM(Z36:Z1031)),$A$3:$A$45,1)+1))</f>
        <v>#N/A</v>
      </c>
      <c r="AB36" s="97" t="e">
        <f t="shared" si="112"/>
        <v>#N/A</v>
      </c>
      <c r="AC36" s="61">
        <f>SUM('FU Distribution'!AN98:$AN$109)+IF('FU Distribution'!$D$112=5,'FU Distribution'!$D$114,0)</f>
        <v>0</v>
      </c>
      <c r="AD36" s="96" t="e">
        <f>FORECAST((SUM(AC36:AC1031)),INDEX($B$3:$B$45,MATCH((SUM(AC36:AC1031)),$A$3:$A$45,1)):INDEX($B$3:$B$45,MATCH((SUM(AC36:AC1031)),$A$3:$A$45,1)+1),INDEX($A$3:$A$45,MATCH((SUM(AC36:AC1031)),$A$3:$A$45,1)):INDEX($A$3:$A$45,MATCH((SUM(AC36:AC1031)),$A$3:$A$45,1)+1))</f>
        <v>#N/A</v>
      </c>
      <c r="AE36" s="97" t="e">
        <f t="shared" si="113"/>
        <v>#N/A</v>
      </c>
      <c r="AF36" s="61">
        <f>SUM('FU Distribution'!AO98:$AO$109)</f>
        <v>0</v>
      </c>
      <c r="AG36" s="96" t="e">
        <f>FORECAST((SUM(AF36:AF1031)),INDEX($B$3:$B$45,MATCH((SUM(AF36:AF1031)),$A$3:$A$45,1)):INDEX($B$3:$B$45,MATCH((SUM(AF36:AF1031)),$A$3:$A$45,1)+1),INDEX($A$3:$A$45,MATCH((SUM(AF36:AF1031)),$A$3:$A$45,1)):INDEX($A$3:$A$45,MATCH((SUM(AF36:AF1031)),$A$3:$A$45,1)+1))</f>
        <v>#N/A</v>
      </c>
      <c r="AH36" s="97" t="e">
        <f t="shared" si="114"/>
        <v>#N/A</v>
      </c>
      <c r="AI36" s="75">
        <f>SUM('FU Distribution'!AQ98:$AQ$109)+IF('FU Distribution'!$D$112=6,'FU Distribution'!$D$114,0)</f>
        <v>0</v>
      </c>
      <c r="AJ36" s="96" t="e">
        <f>FORECAST((SUM(AI36:AI1031)),INDEX($B$3:$B$45,MATCH((SUM(AI36:AI1031)),$A$3:$A$45,1)):INDEX($B$3:$B$45,MATCH((SUM(AI36:AI1031)),$A$3:$A$45,1)+1),INDEX($A$3:$A$45,MATCH((SUM(AI36:AI1031)),$A$3:$A$45,1)):INDEX($A$3:$A$45,MATCH((SUM(AI36:AI1031)),$A$3:$A$45,1)+1))</f>
        <v>#N/A</v>
      </c>
      <c r="AK36" s="97" t="e">
        <f t="shared" si="115"/>
        <v>#N/A</v>
      </c>
      <c r="AL36" s="75">
        <f>SUM('FU Distribution'!AR98:$AR$109)</f>
        <v>0</v>
      </c>
      <c r="AM36" s="96" t="e">
        <f>FORECAST((SUM(AL36:AL1031)),INDEX($B$3:$B$45,MATCH((SUM(AL36:AL1031)),$A$3:$A$45,1)):INDEX($B$3:$B$45,MATCH((SUM(AL36:AL1031)),$A$3:$A$45,1)+1),INDEX($A$3:$A$45,MATCH((SUM(AL36:AL1031)),$A$3:$A$45,1)):INDEX($A$3:$A$45,MATCH((SUM(AL36:AL1031)),$A$3:$A$45,1)+1))</f>
        <v>#N/A</v>
      </c>
      <c r="AN36" s="97" t="e">
        <f t="shared" si="116"/>
        <v>#N/A</v>
      </c>
      <c r="AO36" s="61">
        <f>SUM('FU Distribution'!AT98:$AT$109)+IF('FU Distribution'!$D$112=7,'FU Distribution'!$D$114,0)</f>
        <v>0</v>
      </c>
      <c r="AP36" s="96" t="e">
        <f>FORECAST((SUM(AO36:AO1031)),INDEX($B$3:$B$45,MATCH((SUM(AO36:AO1031)),$A$3:$A$45,1)):INDEX($B$3:$B$45,MATCH((SUM(AO36:AO1031)),$A$3:$A$45,1)+1),INDEX($A$3:$A$45,MATCH((SUM(AO36:AO1031)),$A$3:$A$45,1)):INDEX($A$3:$A$45,MATCH((SUM(AO36:AO1031)),$A$3:$A$45,1)+1))</f>
        <v>#N/A</v>
      </c>
      <c r="AQ36" s="97" t="e">
        <f t="shared" si="117"/>
        <v>#N/A</v>
      </c>
      <c r="AR36" s="61">
        <f>SUM('FU Distribution'!AU98:$AU$109)</f>
        <v>0</v>
      </c>
      <c r="AS36" s="96" t="e">
        <f>FORECAST((SUM(AR36:AR1031)),INDEX($B$3:$B$45,MATCH((SUM(AR36:AR1031)),$A$3:$A$45,1)):INDEX($B$3:$B$45,MATCH((SUM(AR36:AR1031)),$A$3:$A$45,1)+1),INDEX($A$3:$A$45,MATCH((SUM(AR36:AR1031)),$A$3:$A$45,1)):INDEX($A$3:$A$45,MATCH((SUM(AR36:AR1031)),$A$3:$A$45,1)+1))</f>
        <v>#N/A</v>
      </c>
      <c r="AT36" s="97" t="e">
        <f t="shared" si="118"/>
        <v>#N/A</v>
      </c>
      <c r="AU36" s="61">
        <f>SUM('FU Distribution'!AW98:$AW$109)+IF('FU Distribution'!$D$112=8,'FU Distribution'!$D$114,0)</f>
        <v>0</v>
      </c>
      <c r="AV36" s="98" t="e">
        <f>FORECAST(AU36,INDEX($B$3:$B$45,MATCH(AU36,$A$3:$A$45,1)):INDEX($B$3:$B$45,MATCH(AU36,$A$3:$A$45,1)+1),INDEX($A$3:$A$45,MATCH(AU36,$A$3:$A$45,1)):INDEX($A$3:$A$45,MATCH(AU36,$A$3:$A$45,1)+1))</f>
        <v>#N/A</v>
      </c>
      <c r="AW36" s="97" t="e">
        <f t="shared" si="119"/>
        <v>#N/A</v>
      </c>
      <c r="AX36" s="61">
        <f>SUM('FU Distribution'!AX98:$AX$109)</f>
        <v>0</v>
      </c>
      <c r="AY36" s="98" t="e">
        <f>FORECAST(AX36,INDEX($B$3:$B$45,MATCH(AX36,$A$3:$A$45,1)):INDEX($B$3:$B$45,MATCH(AX36,$A$3:$A$45,1)+1),INDEX($A$3:$A$45,MATCH(AX36,$A$3:$A$45,1)):INDEX($A$3:$A$45,MATCH(AX36,$A$3:$A$45,1)+1))</f>
        <v>#N/A</v>
      </c>
      <c r="AZ36" s="97" t="e">
        <f t="shared" si="120"/>
        <v>#N/A</v>
      </c>
      <c r="BA36" s="75">
        <f>SUM('FU Distribution'!AZ98:$AZ$109)+IF('FU Distribution'!$D$112=9,'FU Distribution'!$D$114,0)</f>
        <v>0</v>
      </c>
      <c r="BB36" s="76" t="e">
        <f>FORECAST((SUM(BA36:BA1031)),INDEX($B$3:$B$45,MATCH((SUM(BA36:BA1031)),$A$3:$A$45,1)):INDEX($B$3:$B$45,MATCH((SUM(BA36:BA1031)),$A$3:$A$45,1)+1),INDEX($A$3:$A$45,MATCH((SUM(BA36:BA1031)),$A$3:$A$45,1)):INDEX($A$3:$A$45,MATCH((SUM(BA36:BA1031)),$A$3:$A$45,1)+1))</f>
        <v>#N/A</v>
      </c>
      <c r="BC36" s="77" t="e">
        <f t="shared" si="3"/>
        <v>#N/A</v>
      </c>
      <c r="BD36" s="75">
        <f>SUM('FU Distribution'!BA98:$BA$109)</f>
        <v>0</v>
      </c>
      <c r="BE36" s="76" t="e">
        <f>FORECAST((SUM(BD36:BD1031)),INDEX($B$3:$B$45,MATCH((SUM(BD36:BD1031)),$A$3:$A$45,1)):INDEX($B$3:$B$45,MATCH((SUM(BD36:BD1031)),$A$3:$A$45,1)+1),INDEX($A$3:$A$45,MATCH((SUM(BD36:BD1031)),$A$3:$A$45,1)):INDEX($A$3:$A$45,MATCH((SUM(BD36:BD1031)),$A$3:$A$45,1)+1))</f>
        <v>#N/A</v>
      </c>
      <c r="BF36" s="77" t="e">
        <f t="shared" si="4"/>
        <v>#N/A</v>
      </c>
      <c r="BG36" s="61">
        <f>SUM('FU Distribution'!BC98:$BC$109)+IF('FU Distribution'!$D$112=10,'FU Distribution'!$D$114,0)</f>
        <v>0</v>
      </c>
      <c r="BH36" s="62" t="e">
        <f>FORECAST((SUM(BG36:BG1031)),INDEX($B$3:$B$45,MATCH((SUM(BG36:BG1031)),$A$3:$A$45,1)):INDEX($B$3:$B$45,MATCH((SUM(BG36:BG1031)),$A$3:$A$45,1)+1),INDEX($A$3:$A$45,MATCH((SUM(BG36:BG1031)),$A$3:$A$45,1)):INDEX($A$3:$A$45,MATCH((SUM(BG36:BG1031)),$A$3:$A$45,1)+1))</f>
        <v>#N/A</v>
      </c>
      <c r="BI36" s="74" t="e">
        <f t="shared" si="5"/>
        <v>#N/A</v>
      </c>
      <c r="BJ36" s="61">
        <f>SUM('FU Distribution'!BD98:$BD$109)</f>
        <v>0</v>
      </c>
      <c r="BK36" s="62" t="e">
        <f>FORECAST((SUM(BJ36:BJ1031)),INDEX($B$3:$B$45,MATCH((SUM(BJ36:BJ1031)),$A$3:$A$45,1)):INDEX($B$3:$B$45,MATCH((SUM(BJ36:BJ1031)),$A$3:$A$45,1)+1),INDEX($A$3:$A$45,MATCH((SUM(BJ36:BJ1031)),$A$3:$A$45,1)):INDEX($A$3:$A$45,MATCH((SUM(BJ36:BJ1031)),$A$3:$A$45,1)+1))</f>
        <v>#N/A</v>
      </c>
      <c r="BL36" s="74" t="e">
        <f t="shared" si="6"/>
        <v>#N/A</v>
      </c>
      <c r="BM36" s="75">
        <f>SUM('FU Distribution'!BF98:$BF$109)+IF('FU Distribution'!$D$112=11,'FU Distribution'!$D$114,0)</f>
        <v>0</v>
      </c>
      <c r="BN36" s="76" t="e">
        <f>FORECAST((SUM(BM36:BM1031)),INDEX($B$3:$B$45,MATCH((SUM(BM36:BM1031)),$A$3:$A$45,1)):INDEX($B$3:$B$45,MATCH((SUM(BM36:BM1031)),$A$3:$A$45,1)+1),INDEX($A$3:$A$45,MATCH((SUM(BM36:BM1031)),$A$3:$A$45,1)):INDEX($A$3:$A$45,MATCH((SUM(BM36:BM1031)),$A$3:$A$45,1)+1))</f>
        <v>#N/A</v>
      </c>
      <c r="BO36" s="77" t="e">
        <f t="shared" si="7"/>
        <v>#N/A</v>
      </c>
      <c r="BP36" s="75">
        <f>SUM('FU Distribution'!BG98:$BG$109)</f>
        <v>0</v>
      </c>
      <c r="BQ36" s="76" t="e">
        <f>FORECAST((SUM(BP36:BP1031)),INDEX($B$3:$B$45,MATCH((SUM(BP36:BP1031)),$A$3:$A$45,1)):INDEX($B$3:$B$45,MATCH((SUM(BP36:BP1031)),$A$3:$A$45,1)+1),INDEX($A$3:$A$45,MATCH((SUM(BP36:BP1031)),$A$3:$A$45,1)):INDEX($A$3:$A$45,MATCH((SUM(BP36:BP1031)),$A$3:$A$45,1)+1))</f>
        <v>#N/A</v>
      </c>
      <c r="BR36" s="77" t="e">
        <f t="shared" si="8"/>
        <v>#N/A</v>
      </c>
      <c r="BS36" s="61">
        <f>SUM('FU Distribution'!BI98:$BI$109)+IF('FU Distribution'!$D$112=12,'FU Distribution'!$D$114,0)</f>
        <v>0</v>
      </c>
      <c r="BT36" s="62" t="e">
        <f>FORECAST(BS36,INDEX($B$3:$B$45,MATCH(BS36,$A$3:$A$45,1)):INDEX($B$3:$B$45,MATCH(BS36,$A$3:$A$45,1)+1),INDEX($A$3:$A$45,MATCH(BS36,$A$3:$A$45,1)):INDEX($A$3:$A$45,MATCH(BS36,$A$3:$A$45,1)+1))</f>
        <v>#N/A</v>
      </c>
      <c r="BU36" s="74" t="e">
        <f t="shared" si="9"/>
        <v>#N/A</v>
      </c>
      <c r="BV36" s="61">
        <f>SUM('FU Distribution'!BJ98:$BJ$109)</f>
        <v>0</v>
      </c>
      <c r="BW36" s="62" t="e">
        <f>FORECAST(BV36,INDEX($B$3:$B$45,MATCH(BV36,$A$3:$A$45,1)):INDEX($B$3:$B$45,MATCH(BV36,$A$3:$A$45,1)+1),INDEX($A$3:$A$45,MATCH(BV36,$A$3:$A$45,1)):INDEX($A$3:$A$45,MATCH(BV36,$A$3:$A$45,1)+1))</f>
        <v>#N/A</v>
      </c>
      <c r="BX36" s="74" t="e">
        <f t="shared" si="10"/>
        <v>#N/A</v>
      </c>
      <c r="BY36" s="75">
        <f>SUM('FU Distribution'!BL98:$BL$109)+IF('FU Distribution'!$D$112=13,'FU Distribution'!$D$114,0)</f>
        <v>0</v>
      </c>
      <c r="BZ36" s="76" t="e">
        <f>FORECAST(BY36,INDEX($B$3:$B$45,MATCH(BY36,$A$3:$A$45,1)):INDEX($B$3:$B$45,MATCH(BY36,$A$3:$A$45,1)+1),INDEX($A$3:$A$45,MATCH(BY36,$A$3:$A$45,1)):INDEX($A$3:$A$45,MATCH(BY36,$A$3:$A$45,1)+1))</f>
        <v>#N/A</v>
      </c>
      <c r="CA36" s="77" t="e">
        <f t="shared" si="11"/>
        <v>#N/A</v>
      </c>
      <c r="CB36" s="75">
        <f>SUM('FU Distribution'!BM98:$BM$109)</f>
        <v>0</v>
      </c>
      <c r="CC36" s="76" t="e">
        <f>FORECAST(CB36,INDEX($B$3:$B$45,MATCH(CB36,$A$3:$A$45,1)):INDEX($B$3:$B$45,MATCH(CB36,$A$3:$A$45,1)+1),INDEX($A$3:$A$45,MATCH(CB36,$A$3:$A$45,1)):INDEX($A$3:$A$45,MATCH(CB36,$A$3:$A$45,1)+1))</f>
        <v>#N/A</v>
      </c>
      <c r="CD36" s="77" t="e">
        <f t="shared" si="12"/>
        <v>#N/A</v>
      </c>
      <c r="CE36" s="61">
        <f>SUM('FU Distribution'!BO98:$BO$109)+IF('FU Distribution'!$D$112=13,'FU Distribution'!$D$114,0)</f>
        <v>0</v>
      </c>
      <c r="CF36" s="62" t="e">
        <f>FORECAST(CE36,INDEX($B$3:$B$45,MATCH(CE36,$A$3:$A$45,1)):INDEX($B$3:$B$45,MATCH(CE36,$A$3:$A$45,1)+1),INDEX($A$3:$A$45,MATCH(CE36,$A$3:$A$45,1)):INDEX($A$3:$A$45,MATCH(CE36,$A$3:$A$45,1)+1))</f>
        <v>#N/A</v>
      </c>
      <c r="CG36" s="74" t="e">
        <f t="shared" si="13"/>
        <v>#N/A</v>
      </c>
      <c r="CH36" s="61">
        <f>SUM('FU Distribution'!BP98:$BP$109)</f>
        <v>0</v>
      </c>
      <c r="CI36" s="62" t="e">
        <f>FORECAST(CH36,INDEX($B$3:$B$45,MATCH(CH36,$A$3:$A$45,1)):INDEX($B$3:$B$45,MATCH(CH36,$A$3:$A$45,1)+1),INDEX($A$3:$A$45,MATCH(CH36,$A$3:$A$45,1)):INDEX($A$3:$A$45,MATCH(CH36,$A$3:$A$45,1)+1))</f>
        <v>#N/A</v>
      </c>
      <c r="CJ36" s="74" t="e">
        <f t="shared" si="14"/>
        <v>#N/A</v>
      </c>
    </row>
    <row r="37" spans="1:88" x14ac:dyDescent="0.25">
      <c r="A37" s="2">
        <v>1000</v>
      </c>
      <c r="B37" s="2">
        <v>220</v>
      </c>
      <c r="C37" s="63"/>
      <c r="D37" s="52">
        <v>33</v>
      </c>
      <c r="E37" s="61">
        <f>SUM('FU Distribution'!AB99:$AB$109)+IF('FU Distribution'!$D$112=1,'FU Distribution'!$D$114,0)</f>
        <v>0</v>
      </c>
      <c r="F37" s="98" t="e">
        <f>FORECAST((SUM(E37:E1032)),INDEX($B$3:$B$45,MATCH((SUM(E37:E1032)),$A$3:$A$45,1)):INDEX($B$3:$B$45,MATCH((SUM(E37:E1032)),$A$3:$A$45,1)+1),INDEX($A$3:$A$45,MATCH((SUM(E37:E1032)),$A$3:$A$45,1)):INDEX($A$3:$A$45,MATCH((SUM(E37:E1032)),$A$3:$A$45,1)+1))</f>
        <v>#N/A</v>
      </c>
      <c r="G37" s="99" t="e">
        <f t="shared" ref="G37:G38" si="121">IF(AND(F37&lt;=750,F37&gt;250),6,IF(AND(F37&lt;=250,F37&gt;120),4,IF(AND(F37&lt;=120,F37&gt;75),3,IF(AND(F37&lt;=75,F37&gt;40),2.5,IF(AND(F37&lt;=40,F37&gt;20),2,IF(AND(F37&lt;=20,F37&gt;14),1.5,IF(AND(F37&lt;=14,F37&gt;7),1.25,IF(AND(F37&lt;=7,F37&gt;3.5),1,IF(AND(F37&lt;=3.5,F37&gt;1.7),0.75,IF(AND(F37&lt;=1.7,F37&gt;0),0.5,IF(AND(F37&lt;=0,F37&gt;-1),0)))))))))))</f>
        <v>#N/A</v>
      </c>
      <c r="H37" s="61">
        <f>SUM('FU Distribution'!AC99:$AC$109)</f>
        <v>0</v>
      </c>
      <c r="I37" s="98" t="e">
        <f>FORECAST((SUM(H37:H1032)),INDEX($B$3:$B$45,MATCH((SUM(H37:H1032)),$A$3:$A$45,1)):INDEX($B$3:$B$45,MATCH((SUM(H37:H1032)),$A$3:$A$45,1)+1),INDEX($A$3:$A$45,MATCH((SUM(H37:H1032)),$A$3:$A$45,1)):INDEX($A$3:$A$45,MATCH((SUM(H37:H1032)),$A$3:$A$45,1)+1))</f>
        <v>#N/A</v>
      </c>
      <c r="J37" s="99" t="e">
        <f t="shared" ref="J37:J38" si="122">IF(AND(I37&lt;=750,I37&gt;250),6,IF(AND(I37&lt;=250,I37&gt;120),4,IF(AND(I37&lt;=120,I37&gt;75),3,IF(AND(I37&lt;=75,I37&gt;40),2.5,IF(AND(I37&lt;=40,I37&gt;20),2,IF(AND(I37&lt;=20,I37&gt;14),1.5,IF(AND(I37&lt;=14,I37&gt;7),1.25,IF(AND(I37&lt;=7,I37&gt;3.5),1,IF(AND(I37&lt;=3.5,I37&gt;1.7),0.75,IF(AND(I37&lt;=1.7,I37&gt;0),0.5,IF(AND(I37&lt;=0,I37&gt;-1),0)))))))))))</f>
        <v>#N/A</v>
      </c>
      <c r="K37" s="75">
        <f>SUM('FU Distribution'!AE99:$AE$109)+IF('FU Distribution'!$D$112=2,'FU Distribution'!$D$114,0)</f>
        <v>0</v>
      </c>
      <c r="L37" s="100" t="e">
        <f>FORECAST((SUM(K37:K1032)),INDEX($B$3:$B$45,MATCH((SUM(K37:K1032)),$A$3:$A$45,1)):INDEX($B$3:$B$45,MATCH((SUM(K37:K1032)),$A$3:$A$45,1)+1),INDEX($A$3:$A$45,MATCH((SUM(K37:K1032)),$A$3:$A$45,1)):INDEX($A$3:$A$45,MATCH((SUM(K37:K1032)),$A$3:$A$45,1)+1))</f>
        <v>#N/A</v>
      </c>
      <c r="M37" s="101" t="e">
        <f t="shared" ref="M37:M38" si="123">IF(AND(L37&lt;=750,L37&gt;250),6,IF(AND(L37&lt;=250,L37&gt;120),4,IF(AND(L37&lt;=120,L37&gt;75),3,IF(AND(L37&lt;=75,L37&gt;40),2.5,IF(AND(L37&lt;=40,L37&gt;20),2,IF(AND(L37&lt;=20,L37&gt;14),1.5,IF(AND(L37&lt;=14,L37&gt;7),1.25,IF(AND(L37&lt;=7,L37&gt;3.5),1,IF(AND(L37&lt;=3.5,L37&gt;1.7),0.75,IF(AND(L37&lt;=1.7,L37&gt;0),0.5,IF(AND(L37&lt;=0,L37&gt;-1),0)))))))))))</f>
        <v>#N/A</v>
      </c>
      <c r="N37" s="75">
        <f>SUM('FU Distribution'!AF99:$AF$109)</f>
        <v>0</v>
      </c>
      <c r="O37" s="100" t="e">
        <f>FORECAST((SUM(N37:N1032)),INDEX($B$3:$B$45,MATCH((SUM(N37:N1032)),$A$3:$A$45,1)):INDEX($B$3:$B$45,MATCH((SUM(N37:N1032)),$A$3:$A$45,1)+1),INDEX($A$3:$A$45,MATCH((SUM(N37:N1032)),$A$3:$A$45,1)):INDEX($A$3:$A$45,MATCH((SUM(N37:N1032)),$A$3:$A$45,1)+1))</f>
        <v>#N/A</v>
      </c>
      <c r="P37" s="101" t="e">
        <f t="shared" ref="P37:P38" si="124">IF(AND(O37&lt;=750,O37&gt;250),6,IF(AND(O37&lt;=250,O37&gt;120),4,IF(AND(O37&lt;=120,O37&gt;75),3,IF(AND(O37&lt;=75,O37&gt;40),2.5,IF(AND(O37&lt;=40,O37&gt;20),2,IF(AND(O37&lt;=20,O37&gt;14),1.5,IF(AND(O37&lt;=14,O37&gt;7),1.25,IF(AND(O37&lt;=7,O37&gt;3.5),1,IF(AND(O37&lt;=3.5,O37&gt;1.7),0.75,IF(AND(O37&lt;=1.7,O37&gt;0),0.5,IF(AND(O37&lt;=0,O37&gt;-1),0)))))))))))</f>
        <v>#N/A</v>
      </c>
      <c r="Q37" s="61">
        <f>SUM('FU Distribution'!AH99:$AH$109)+IF('FU Distribution'!$D$112=3,'FU Distribution'!$D$114,0)</f>
        <v>0</v>
      </c>
      <c r="R37" s="98" t="e">
        <f>FORECAST((SUM(Q37:Q1032)),INDEX($B$3:$B$45,MATCH((SUM(Q37:Q1032)),$A$3:$A$45,1)):INDEX($B$3:$B$45,MATCH((SUM(Q37:Q1032)),$A$3:$A$45,1)+1),INDEX($A$3:$A$45,MATCH((SUM(Q37:Q1032)),$A$3:$A$45,1)):INDEX($A$3:$A$45,MATCH((SUM(Q37:Q1032)),$A$3:$A$45,1)+1))</f>
        <v>#N/A</v>
      </c>
      <c r="S37" s="99" t="e">
        <f t="shared" ref="S37:S38" si="125">IF(AND(R37&lt;=750,R37&gt;250),6,IF(AND(R37&lt;=250,R37&gt;120),4,IF(AND(R37&lt;=120,R37&gt;75),3,IF(AND(R37&lt;=75,R37&gt;40),2.5,IF(AND(R37&lt;=40,R37&gt;20),2,IF(AND(R37&lt;=20,R37&gt;14),1.5,IF(AND(R37&lt;=14,R37&gt;7),1.25,IF(AND(R37&lt;=7,R37&gt;3.5),1,IF(AND(R37&lt;=3.5,R37&gt;1.7),0.75,IF(AND(R37&lt;=1.7,R37&gt;0),0.5,IF(AND(R37&lt;=0,R37&gt;-1),0)))))))))))</f>
        <v>#N/A</v>
      </c>
      <c r="T37" s="61">
        <f>SUM('FU Distribution'!AI99:$AI$109)</f>
        <v>0</v>
      </c>
      <c r="U37" s="98" t="e">
        <f>FORECAST((SUM(T37:T1032)),INDEX($B$3:$B$45,MATCH((SUM(T37:T1032)),$A$3:$A$45,1)):INDEX($B$3:$B$45,MATCH((SUM(T37:T1032)),$A$3:$A$45,1)+1),INDEX($A$3:$A$45,MATCH((SUM(T37:T1032)),$A$3:$A$45,1)):INDEX($A$3:$A$45,MATCH((SUM(T37:T1032)),$A$3:$A$45,1)+1))</f>
        <v>#N/A</v>
      </c>
      <c r="V37" s="99" t="e">
        <f t="shared" si="0"/>
        <v>#N/A</v>
      </c>
      <c r="W37" s="75">
        <f>SUM('FU Distribution'!AK99:$AK$109)+IF('FU Distribution'!$D$112=4,'FU Distribution'!$D$114,0)</f>
        <v>0</v>
      </c>
      <c r="X37" s="100" t="e">
        <f>FORECAST((SUM(W37:W1032)),INDEX($B$3:$B$45,MATCH((SUM(W37:W1032)),$A$3:$A$45,1)):INDEX($B$3:$B$45,MATCH((SUM(W37:W1032)),$A$3:$A$45,1)+1),INDEX($A$3:$A$45,MATCH((SUM(W37:W1032)),$A$3:$A$45,1)):INDEX($A$3:$A$45,MATCH((SUM(W37:W1032)),$A$3:$A$45,1)+1))</f>
        <v>#N/A</v>
      </c>
      <c r="Y37" s="101" t="e">
        <f t="shared" si="1"/>
        <v>#N/A</v>
      </c>
      <c r="Z37" s="75">
        <f>SUM('FU Distribution'!AL99:$AL$109)</f>
        <v>0</v>
      </c>
      <c r="AA37" s="100" t="e">
        <f>FORECAST((SUM(Z37:Z1032)),INDEX($B$3:$B$45,MATCH((SUM(Z37:Z1032)),$A$3:$A$45,1)):INDEX($B$3:$B$45,MATCH((SUM(Z37:Z1032)),$A$3:$A$45,1)+1),INDEX($A$3:$A$45,MATCH((SUM(Z37:Z1032)),$A$3:$A$45,1)):INDEX($A$3:$A$45,MATCH((SUM(Z37:Z1032)),$A$3:$A$45,1)+1))</f>
        <v>#N/A</v>
      </c>
      <c r="AB37" s="101" t="e">
        <f t="shared" ref="AB37:AB38" si="126">IF(AND(AA37&lt;=750,AA37&gt;250),6,IF(AND(AA37&lt;=250,AA37&gt;120),4,IF(AND(AA37&lt;=120,AA37&gt;75),3,IF(AND(AA37&lt;=75,AA37&gt;40),2.5,IF(AND(AA37&lt;=40,AA37&gt;20),2,IF(AND(AA37&lt;=20,AA37&gt;14),1.5,IF(AND(AA37&lt;=14,AA37&gt;7),1.25,IF(AND(AA37&lt;=7,AA37&gt;3.5),1,IF(AND(AA37&lt;=3.5,AA37&gt;1.7),0.75,IF(AND(AA37&lt;=1.7,AA37&gt;0),0.5,IF(AND(AA37&lt;=0,AA37&gt;-1),0)))))))))))</f>
        <v>#N/A</v>
      </c>
      <c r="AC37" s="61">
        <f>SUM('FU Distribution'!AN99:$AN$109)+IF('FU Distribution'!$D$112=5,'FU Distribution'!$D$114,0)</f>
        <v>0</v>
      </c>
      <c r="AD37" s="98" t="e">
        <f>FORECAST((SUM(AC37:AC1032)),INDEX($B$3:$B$45,MATCH((SUM(AC37:AC1032)),$A$3:$A$45,1)):INDEX($B$3:$B$45,MATCH((SUM(AC37:AC1032)),$A$3:$A$45,1)+1),INDEX($A$3:$A$45,MATCH((SUM(AC37:AC1032)),$A$3:$A$45,1)):INDEX($A$3:$A$45,MATCH((SUM(AC37:AC1032)),$A$3:$A$45,1)+1))</f>
        <v>#N/A</v>
      </c>
      <c r="AE37" s="99" t="e">
        <f t="shared" ref="AE37:AE38" si="127">IF(AND(AD37&lt;=750,AD37&gt;250),6,IF(AND(AD37&lt;=250,AD37&gt;120),4,IF(AND(AD37&lt;=120,AD37&gt;75),3,IF(AND(AD37&lt;=75,AD37&gt;40),2.5,IF(AND(AD37&lt;=40,AD37&gt;20),2,IF(AND(AD37&lt;=20,AD37&gt;14),1.5,IF(AND(AD37&lt;=14,AD37&gt;7),1.25,IF(AND(AD37&lt;=7,AD37&gt;3.5),1,IF(AND(AD37&lt;=3.5,AD37&gt;1.7),0.75,IF(AND(AD37&lt;=1.7,AD37&gt;0),0.5,IF(AND(AD37&lt;=0,AD37&gt;-1),0)))))))))))</f>
        <v>#N/A</v>
      </c>
      <c r="AF37" s="61">
        <f>SUM('FU Distribution'!AO99:$AO$109)</f>
        <v>0</v>
      </c>
      <c r="AG37" s="98" t="e">
        <f>FORECAST((SUM(AF37:AF1032)),INDEX($B$3:$B$45,MATCH((SUM(AF37:AF1032)),$A$3:$A$45,1)):INDEX($B$3:$B$45,MATCH((SUM(AF37:AF1032)),$A$3:$A$45,1)+1),INDEX($A$3:$A$45,MATCH((SUM(AF37:AF1032)),$A$3:$A$45,1)):INDEX($A$3:$A$45,MATCH((SUM(AF37:AF1032)),$A$3:$A$45,1)+1))</f>
        <v>#N/A</v>
      </c>
      <c r="AH37" s="99" t="e">
        <f t="shared" ref="AH37:AH38" si="128">IF(AND(AG37&lt;=750,AG37&gt;250),6,IF(AND(AG37&lt;=250,AG37&gt;120),4,IF(AND(AG37&lt;=120,AG37&gt;75),3,IF(AND(AG37&lt;=75,AG37&gt;40),2.5,IF(AND(AG37&lt;=40,AG37&gt;20),2,IF(AND(AG37&lt;=20,AG37&gt;14),1.5,IF(AND(AG37&lt;=14,AG37&gt;7),1.25,IF(AND(AG37&lt;=7,AG37&gt;3.5),1,IF(AND(AG37&lt;=3.5,AG37&gt;1.7),0.75,IF(AND(AG37&lt;=1.7,AG37&gt;0),0.5,IF(AND(AG37&lt;=0,AG37&gt;-1),0)))))))))))</f>
        <v>#N/A</v>
      </c>
      <c r="AI37" s="75">
        <f>SUM('FU Distribution'!AQ99:$AQ$109)+IF('FU Distribution'!$D$112=6,'FU Distribution'!$D$114,0)</f>
        <v>0</v>
      </c>
      <c r="AJ37" s="100" t="e">
        <f>FORECAST((SUM(AI37:AI1032)),INDEX($B$3:$B$45,MATCH((SUM(AI37:AI1032)),$A$3:$A$45,1)):INDEX($B$3:$B$45,MATCH((SUM(AI37:AI1032)),$A$3:$A$45,1)+1),INDEX($A$3:$A$45,MATCH((SUM(AI37:AI1032)),$A$3:$A$45,1)):INDEX($A$3:$A$45,MATCH((SUM(AI37:AI1032)),$A$3:$A$45,1)+1))</f>
        <v>#N/A</v>
      </c>
      <c r="AK37" s="101" t="e">
        <f t="shared" ref="AK37:AK38" si="129">IF(AND(AJ37&lt;=750,AJ37&gt;250),6,IF(AND(AJ37&lt;=250,AJ37&gt;120),4,IF(AND(AJ37&lt;=120,AJ37&gt;75),3,IF(AND(AJ37&lt;=75,AJ37&gt;40),2.5,IF(AND(AJ37&lt;=40,AJ37&gt;20),2,IF(AND(AJ37&lt;=20,AJ37&gt;14),1.5,IF(AND(AJ37&lt;=14,AJ37&gt;7),1.25,IF(AND(AJ37&lt;=7,AJ37&gt;3.5),1,IF(AND(AJ37&lt;=3.5,AJ37&gt;1.7),0.75,IF(AND(AJ37&lt;=1.7,AJ37&gt;0),0.5,IF(AND(AJ37&lt;=0,AJ37&gt;-1),0)))))))))))</f>
        <v>#N/A</v>
      </c>
      <c r="AL37" s="75">
        <f>SUM('FU Distribution'!AR99:$AR$109)</f>
        <v>0</v>
      </c>
      <c r="AM37" s="100" t="e">
        <f>FORECAST((SUM(AL37:AL1032)),INDEX($B$3:$B$45,MATCH((SUM(AL37:AL1032)),$A$3:$A$45,1)):INDEX($B$3:$B$45,MATCH((SUM(AL37:AL1032)),$A$3:$A$45,1)+1),INDEX($A$3:$A$45,MATCH((SUM(AL37:AL1032)),$A$3:$A$45,1)):INDEX($A$3:$A$45,MATCH((SUM(AL37:AL1032)),$A$3:$A$45,1)+1))</f>
        <v>#N/A</v>
      </c>
      <c r="AN37" s="101" t="e">
        <f t="shared" ref="AN37:AN38" si="130">IF(AND(AM37&lt;=750,AM37&gt;250),6,IF(AND(AM37&lt;=250,AM37&gt;120),4,IF(AND(AM37&lt;=120,AM37&gt;75),3,IF(AND(AM37&lt;=75,AM37&gt;40),2.5,IF(AND(AM37&lt;=40,AM37&gt;20),2,IF(AND(AM37&lt;=20,AM37&gt;14),1.5,IF(AND(AM37&lt;=14,AM37&gt;7),1.25,IF(AND(AM37&lt;=7,AM37&gt;3.5),1,IF(AND(AM37&lt;=3.5,AM37&gt;1.7),0.75,IF(AND(AM37&lt;=1.7,AM37&gt;0),0.5,IF(AND(AM37&lt;=0,AM37&gt;-1),0)))))))))))</f>
        <v>#N/A</v>
      </c>
      <c r="AO37" s="61">
        <f>SUM('FU Distribution'!AT99:$AT$109)+IF('FU Distribution'!$D$112=7,'FU Distribution'!$D$114,0)</f>
        <v>0</v>
      </c>
      <c r="AP37" s="98" t="e">
        <f>FORECAST((SUM(AO37:AO1032)),INDEX($B$3:$B$45,MATCH((SUM(AO37:AO1032)),$A$3:$A$45,1)):INDEX($B$3:$B$45,MATCH((SUM(AO37:AO1032)),$A$3:$A$45,1)+1),INDEX($A$3:$A$45,MATCH((SUM(AO37:AO1032)),$A$3:$A$45,1)):INDEX($A$3:$A$45,MATCH((SUM(AO37:AO1032)),$A$3:$A$45,1)+1))</f>
        <v>#N/A</v>
      </c>
      <c r="AQ37" s="99" t="e">
        <f t="shared" ref="AQ37:AQ38" si="131">IF(AND(AP37&lt;=750,AP37&gt;250),6,IF(AND(AP37&lt;=250,AP37&gt;120),4,IF(AND(AP37&lt;=120,AP37&gt;75),3,IF(AND(AP37&lt;=75,AP37&gt;40),2.5,IF(AND(AP37&lt;=40,AP37&gt;20),2,IF(AND(AP37&lt;=20,AP37&gt;14),1.5,IF(AND(AP37&lt;=14,AP37&gt;7),1.25,IF(AND(AP37&lt;=7,AP37&gt;3.5),1,IF(AND(AP37&lt;=3.5,AP37&gt;1.7),0.75,IF(AND(AP37&lt;=1.7,AP37&gt;0),0.5,IF(AND(AP37&lt;=0,AP37&gt;-1),0)))))))))))</f>
        <v>#N/A</v>
      </c>
      <c r="AR37" s="61">
        <f>SUM('FU Distribution'!AU99:$AU$109)</f>
        <v>0</v>
      </c>
      <c r="AS37" s="98" t="e">
        <f>FORECAST((SUM(AR37:AR1032)),INDEX($B$3:$B$45,MATCH((SUM(AR37:AR1032)),$A$3:$A$45,1)):INDEX($B$3:$B$45,MATCH((SUM(AR37:AR1032)),$A$3:$A$45,1)+1),INDEX($A$3:$A$45,MATCH((SUM(AR37:AR1032)),$A$3:$A$45,1)):INDEX($A$3:$A$45,MATCH((SUM(AR37:AR1032)),$A$3:$A$45,1)+1))</f>
        <v>#N/A</v>
      </c>
      <c r="AT37" s="99" t="e">
        <f t="shared" ref="AT37:AT38" si="132">IF(AND(AS37&lt;=750,AS37&gt;250),6,IF(AND(AS37&lt;=250,AS37&gt;120),4,IF(AND(AS37&lt;=120,AS37&gt;75),3,IF(AND(AS37&lt;=75,AS37&gt;40),2.5,IF(AND(AS37&lt;=40,AS37&gt;20),2,IF(AND(AS37&lt;=20,AS37&gt;14),1.5,IF(AND(AS37&lt;=14,AS37&gt;7),1.25,IF(AND(AS37&lt;=7,AS37&gt;3.5),1,IF(AND(AS37&lt;=3.5,AS37&gt;1.7),0.75,IF(AND(AS37&lt;=1.7,AS37&gt;0),0.5,IF(AND(AS37&lt;=0,AS37&gt;-1),0)))))))))))</f>
        <v>#N/A</v>
      </c>
      <c r="AU37" s="61">
        <f>SUM('FU Distribution'!AW99:$AW$109)+IF('FU Distribution'!$D$112=8,'FU Distribution'!$D$114,0)</f>
        <v>0</v>
      </c>
      <c r="AV37" s="98" t="e">
        <f>FORECAST(AU37,INDEX($B$3:$B$45,MATCH(AU37,$A$3:$A$45,1)):INDEX($B$3:$B$45,MATCH(AU37,$A$3:$A$45,1)+1),INDEX($A$3:$A$45,MATCH(AU37,$A$3:$A$45,1)):INDEX($A$3:$A$45,MATCH(AU37,$A$3:$A$45,1)+1))</f>
        <v>#N/A</v>
      </c>
      <c r="AW37" s="99" t="e">
        <f t="shared" ref="AW37:AW38" si="133">IF(AND(AV37&lt;=750,AV37&gt;250),6,IF(AND(AV37&lt;=250,AV37&gt;120),4,IF(AND(AV37&lt;=120,AV37&gt;75),3,IF(AND(AV37&lt;=75,AV37&gt;40),2.5,IF(AND(AV37&lt;=40,AV37&gt;20),2,IF(AND(AV37&lt;=20,AV37&gt;14),1.5,IF(AND(AV37&lt;=14,AV37&gt;7),1.25,IF(AND(AV37&lt;=7,AV37&gt;3.5),1,IF(AND(AV37&lt;=3.5,AV37&gt;1.7),0.75,IF(AND(AV37&lt;=1.7,AV37&gt;0),0.5,IF(AND(AV37&lt;=0,AV37&gt;-1),0)))))))))))</f>
        <v>#N/A</v>
      </c>
      <c r="AX37" s="61">
        <f>SUM('FU Distribution'!AX99:$AX$109)</f>
        <v>0</v>
      </c>
      <c r="AY37" s="98" t="e">
        <f>FORECAST(AX37,INDEX($B$3:$B$45,MATCH(AX37,$A$3:$A$45,1)):INDEX($B$3:$B$45,MATCH(AX37,$A$3:$A$45,1)+1),INDEX($A$3:$A$45,MATCH(AX37,$A$3:$A$45,1)):INDEX($A$3:$A$45,MATCH(AX37,$A$3:$A$45,1)+1))</f>
        <v>#N/A</v>
      </c>
      <c r="AZ37" s="99" t="e">
        <f t="shared" ref="AZ37:AZ38" si="134">IF(AND(AY37&lt;=750,AY37&gt;250),6,IF(AND(AY37&lt;=250,AY37&gt;120),4,IF(AND(AY37&lt;=120,AY37&gt;75),3,IF(AND(AY37&lt;=75,AY37&gt;40),2.5,IF(AND(AY37&lt;=40,AY37&gt;20),2,IF(AND(AY37&lt;=20,AY37&gt;14),1.5,IF(AND(AY37&lt;=14,AY37&gt;7),1.25,IF(AND(AY37&lt;=7,AY37&gt;3.5),1,IF(AND(AY37&lt;=3.5,AY37&gt;1.7),0.75,IF(AND(AY37&lt;=1.7,AY37&gt;0),0.5,IF(AND(AY37&lt;=0,AY37&gt;-1),0)))))))))))</f>
        <v>#N/A</v>
      </c>
      <c r="BA37" s="75">
        <f>SUM('FU Distribution'!AZ99:$AZ$109)+IF('FU Distribution'!$D$112=9,'FU Distribution'!$D$114,0)</f>
        <v>0</v>
      </c>
      <c r="BB37" s="76" t="e">
        <f>FORECAST((SUM(BA37:BA1032)),INDEX($B$3:$B$45,MATCH((SUM(BA37:BA1032)),$A$3:$A$45,1)):INDEX($B$3:$B$45,MATCH((SUM(BA37:BA1032)),$A$3:$A$45,1)+1),INDEX($A$3:$A$45,MATCH((SUM(BA37:BA1032)),$A$3:$A$45,1)):INDEX($A$3:$A$45,MATCH((SUM(BA37:BA1032)),$A$3:$A$45,1)+1))</f>
        <v>#N/A</v>
      </c>
      <c r="BC37" s="77" t="e">
        <f t="shared" si="3"/>
        <v>#N/A</v>
      </c>
      <c r="BD37" s="75">
        <f>SUM('FU Distribution'!BA99:$BA$109)</f>
        <v>0</v>
      </c>
      <c r="BE37" s="76" t="e">
        <f>FORECAST((SUM(BD37:BD1032)),INDEX($B$3:$B$45,MATCH((SUM(BD37:BD1032)),$A$3:$A$45,1)):INDEX($B$3:$B$45,MATCH((SUM(BD37:BD1032)),$A$3:$A$45,1)+1),INDEX($A$3:$A$45,MATCH((SUM(BD37:BD1032)),$A$3:$A$45,1)):INDEX($A$3:$A$45,MATCH((SUM(BD37:BD1032)),$A$3:$A$45,1)+1))</f>
        <v>#N/A</v>
      </c>
      <c r="BF37" s="77" t="e">
        <f t="shared" si="4"/>
        <v>#N/A</v>
      </c>
      <c r="BG37" s="61">
        <f>SUM('FU Distribution'!BC99:$BC$109)+IF('FU Distribution'!$D$112=10,'FU Distribution'!$D$114,0)</f>
        <v>0</v>
      </c>
      <c r="BH37" s="62" t="e">
        <f>FORECAST((SUM(BG37:BG1032)),INDEX($B$3:$B$45,MATCH((SUM(BG37:BG1032)),$A$3:$A$45,1)):INDEX($B$3:$B$45,MATCH((SUM(BG37:BG1032)),$A$3:$A$45,1)+1),INDEX($A$3:$A$45,MATCH((SUM(BG37:BG1032)),$A$3:$A$45,1)):INDEX($A$3:$A$45,MATCH((SUM(BG37:BG1032)),$A$3:$A$45,1)+1))</f>
        <v>#N/A</v>
      </c>
      <c r="BI37" s="74" t="e">
        <f t="shared" si="5"/>
        <v>#N/A</v>
      </c>
      <c r="BJ37" s="61">
        <f>SUM('FU Distribution'!BD99:$BD$109)</f>
        <v>0</v>
      </c>
      <c r="BK37" s="62" t="e">
        <f>FORECAST((SUM(BJ37:BJ1032)),INDEX($B$3:$B$45,MATCH((SUM(BJ37:BJ1032)),$A$3:$A$45,1)):INDEX($B$3:$B$45,MATCH((SUM(BJ37:BJ1032)),$A$3:$A$45,1)+1),INDEX($A$3:$A$45,MATCH((SUM(BJ37:BJ1032)),$A$3:$A$45,1)):INDEX($A$3:$A$45,MATCH((SUM(BJ37:BJ1032)),$A$3:$A$45,1)+1))</f>
        <v>#N/A</v>
      </c>
      <c r="BL37" s="74" t="e">
        <f t="shared" si="6"/>
        <v>#N/A</v>
      </c>
      <c r="BM37" s="75">
        <f>SUM('FU Distribution'!BF99:$BF$109)+IF('FU Distribution'!$D$112=11,'FU Distribution'!$D$114,0)</f>
        <v>0</v>
      </c>
      <c r="BN37" s="76" t="e">
        <f>FORECAST((SUM(BM37:BM1032)),INDEX($B$3:$B$45,MATCH((SUM(BM37:BM1032)),$A$3:$A$45,1)):INDEX($B$3:$B$45,MATCH((SUM(BM37:BM1032)),$A$3:$A$45,1)+1),INDEX($A$3:$A$45,MATCH((SUM(BM37:BM1032)),$A$3:$A$45,1)):INDEX($A$3:$A$45,MATCH((SUM(BM37:BM1032)),$A$3:$A$45,1)+1))</f>
        <v>#N/A</v>
      </c>
      <c r="BO37" s="77" t="e">
        <f t="shared" si="7"/>
        <v>#N/A</v>
      </c>
      <c r="BP37" s="75">
        <f>SUM('FU Distribution'!BG99:$BG$109)</f>
        <v>0</v>
      </c>
      <c r="BQ37" s="76" t="e">
        <f>FORECAST((SUM(BP37:BP1032)),INDEX($B$3:$B$45,MATCH((SUM(BP37:BP1032)),$A$3:$A$45,1)):INDEX($B$3:$B$45,MATCH((SUM(BP37:BP1032)),$A$3:$A$45,1)+1),INDEX($A$3:$A$45,MATCH((SUM(BP37:BP1032)),$A$3:$A$45,1)):INDEX($A$3:$A$45,MATCH((SUM(BP37:BP1032)),$A$3:$A$45,1)+1))</f>
        <v>#N/A</v>
      </c>
      <c r="BR37" s="77" t="e">
        <f t="shared" si="8"/>
        <v>#N/A</v>
      </c>
      <c r="BS37" s="61">
        <f>SUM('FU Distribution'!BI99:$BI$109)+IF('FU Distribution'!$D$112=12,'FU Distribution'!$D$114,0)</f>
        <v>0</v>
      </c>
      <c r="BT37" s="62" t="e">
        <f>FORECAST(BS37,INDEX($B$3:$B$45,MATCH(BS37,$A$3:$A$45,1)):INDEX($B$3:$B$45,MATCH(BS37,$A$3:$A$45,1)+1),INDEX($A$3:$A$45,MATCH(BS37,$A$3:$A$45,1)):INDEX($A$3:$A$45,MATCH(BS37,$A$3:$A$45,1)+1))</f>
        <v>#N/A</v>
      </c>
      <c r="BU37" s="74" t="e">
        <f t="shared" si="9"/>
        <v>#N/A</v>
      </c>
      <c r="BV37" s="61">
        <f>SUM('FU Distribution'!BJ99:$BJ$109)</f>
        <v>0</v>
      </c>
      <c r="BW37" s="62" t="e">
        <f>FORECAST(BV37,INDEX($B$3:$B$45,MATCH(BV37,$A$3:$A$45,1)):INDEX($B$3:$B$45,MATCH(BV37,$A$3:$A$45,1)+1),INDEX($A$3:$A$45,MATCH(BV37,$A$3:$A$45,1)):INDEX($A$3:$A$45,MATCH(BV37,$A$3:$A$45,1)+1))</f>
        <v>#N/A</v>
      </c>
      <c r="BX37" s="74" t="e">
        <f t="shared" si="10"/>
        <v>#N/A</v>
      </c>
      <c r="BY37" s="75">
        <f>SUM('FU Distribution'!BL99:$BL$109)+IF('FU Distribution'!$D$112=13,'FU Distribution'!$D$114,0)</f>
        <v>0</v>
      </c>
      <c r="BZ37" s="76" t="e">
        <f>FORECAST(BY37,INDEX($B$3:$B$45,MATCH(BY37,$A$3:$A$45,1)):INDEX($B$3:$B$45,MATCH(BY37,$A$3:$A$45,1)+1),INDEX($A$3:$A$45,MATCH(BY37,$A$3:$A$45,1)):INDEX($A$3:$A$45,MATCH(BY37,$A$3:$A$45,1)+1))</f>
        <v>#N/A</v>
      </c>
      <c r="CA37" s="77" t="e">
        <f t="shared" si="11"/>
        <v>#N/A</v>
      </c>
      <c r="CB37" s="75">
        <f>SUM('FU Distribution'!BM99:$BM$109)</f>
        <v>0</v>
      </c>
      <c r="CC37" s="76" t="e">
        <f>FORECAST(CB37,INDEX($B$3:$B$45,MATCH(CB37,$A$3:$A$45,1)):INDEX($B$3:$B$45,MATCH(CB37,$A$3:$A$45,1)+1),INDEX($A$3:$A$45,MATCH(CB37,$A$3:$A$45,1)):INDEX($A$3:$A$45,MATCH(CB37,$A$3:$A$45,1)+1))</f>
        <v>#N/A</v>
      </c>
      <c r="CD37" s="77" t="e">
        <f t="shared" si="12"/>
        <v>#N/A</v>
      </c>
      <c r="CE37" s="61">
        <f>SUM('FU Distribution'!BO99:$BO$109)+IF('FU Distribution'!$D$112=13,'FU Distribution'!$D$114,0)</f>
        <v>0</v>
      </c>
      <c r="CF37" s="62" t="e">
        <f>FORECAST(CE37,INDEX($B$3:$B$45,MATCH(CE37,$A$3:$A$45,1)):INDEX($B$3:$B$45,MATCH(CE37,$A$3:$A$45,1)+1),INDEX($A$3:$A$45,MATCH(CE37,$A$3:$A$45,1)):INDEX($A$3:$A$45,MATCH(CE37,$A$3:$A$45,1)+1))</f>
        <v>#N/A</v>
      </c>
      <c r="CG37" s="74" t="e">
        <f t="shared" si="13"/>
        <v>#N/A</v>
      </c>
      <c r="CH37" s="61">
        <f>SUM('FU Distribution'!BP99:$BP$109)</f>
        <v>0</v>
      </c>
      <c r="CI37" s="62" t="e">
        <f>FORECAST(CH37,INDEX($B$3:$B$45,MATCH(CH37,$A$3:$A$45,1)):INDEX($B$3:$B$45,MATCH(CH37,$A$3:$A$45,1)+1),INDEX($A$3:$A$45,MATCH(CH37,$A$3:$A$45,1)):INDEX($A$3:$A$45,MATCH(CH37,$A$3:$A$45,1)+1))</f>
        <v>#N/A</v>
      </c>
      <c r="CJ37" s="74" t="e">
        <f t="shared" si="14"/>
        <v>#N/A</v>
      </c>
    </row>
    <row r="38" spans="1:88" x14ac:dyDescent="0.25">
      <c r="A38" s="2">
        <v>1250</v>
      </c>
      <c r="B38" s="2">
        <v>250</v>
      </c>
      <c r="C38" s="63"/>
      <c r="D38" s="52">
        <v>34</v>
      </c>
      <c r="E38" s="61">
        <f>SUM('FU Distribution'!AB100:$AB$109)+IF('FU Distribution'!$D$112=1,'FU Distribution'!$D$114,0)</f>
        <v>0</v>
      </c>
      <c r="F38" s="96" t="e">
        <f>FORECAST((SUM(E38:E1032)),INDEX($B$3:$B$45,MATCH((SUM(E38:E1032)),$A$3:$A$45,1)):INDEX($B$3:$B$45,MATCH((SUM(E38:E1032)),$A$3:$A$45,1)+1),INDEX($A$3:$A$45,MATCH((SUM(E38:E1032)),$A$3:$A$45,1)):INDEX($A$3:$A$45,MATCH((SUM(E38:E1032)),$A$3:$A$45,1)+1))</f>
        <v>#N/A</v>
      </c>
      <c r="G38" s="97" t="e">
        <f t="shared" si="121"/>
        <v>#N/A</v>
      </c>
      <c r="H38" s="61">
        <f>SUM('FU Distribution'!AC100:$AC$109)</f>
        <v>0</v>
      </c>
      <c r="I38" s="96" t="e">
        <f>FORECAST((SUM(H38:H1033)),INDEX($B$3:$B$45,MATCH((SUM(H38:H1033)),$A$3:$A$45,1)):INDEX($B$3:$B$45,MATCH((SUM(H38:H1033)),$A$3:$A$45,1)+1),INDEX($A$3:$A$45,MATCH((SUM(H38:H1033)),$A$3:$A$45,1)):INDEX($A$3:$A$45,MATCH((SUM(H38:H1033)),$A$3:$A$45,1)+1))</f>
        <v>#N/A</v>
      </c>
      <c r="J38" s="97" t="e">
        <f t="shared" si="122"/>
        <v>#N/A</v>
      </c>
      <c r="K38" s="75">
        <f>SUM('FU Distribution'!AE100:$AE$109)+IF('FU Distribution'!$D$112=2,'FU Distribution'!$D$114,0)</f>
        <v>0</v>
      </c>
      <c r="L38" s="96" t="e">
        <f>FORECAST((SUM(K38:K1033)),INDEX($B$3:$B$45,MATCH((SUM(K38:K1033)),$A$3:$A$45,1)):INDEX($B$3:$B$45,MATCH((SUM(K38:K1033)),$A$3:$A$45,1)+1),INDEX($A$3:$A$45,MATCH((SUM(K38:K1033)),$A$3:$A$45,1)):INDEX($A$3:$A$45,MATCH((SUM(K38:K1033)),$A$3:$A$45,1)+1))</f>
        <v>#N/A</v>
      </c>
      <c r="M38" s="97" t="e">
        <f t="shared" si="123"/>
        <v>#N/A</v>
      </c>
      <c r="N38" s="75">
        <f>SUM('FU Distribution'!AF100:$AF$109)</f>
        <v>0</v>
      </c>
      <c r="O38" s="96" t="e">
        <f>FORECAST((SUM(N38:N1033)),INDEX($B$3:$B$45,MATCH((SUM(N38:N1033)),$A$3:$A$45,1)):INDEX($B$3:$B$45,MATCH((SUM(N38:N1033)),$A$3:$A$45,1)+1),INDEX($A$3:$A$45,MATCH((SUM(N38:N1033)),$A$3:$A$45,1)):INDEX($A$3:$A$45,MATCH((SUM(N38:N1033)),$A$3:$A$45,1)+1))</f>
        <v>#N/A</v>
      </c>
      <c r="P38" s="97" t="e">
        <f t="shared" si="124"/>
        <v>#N/A</v>
      </c>
      <c r="Q38" s="61">
        <f>SUM('FU Distribution'!AH100:$AH$109)+IF('FU Distribution'!$D$112=3,'FU Distribution'!$D$114,0)</f>
        <v>0</v>
      </c>
      <c r="R38" s="96" t="e">
        <f>FORECAST((SUM(Q38:Q1033)),INDEX($B$3:$B$45,MATCH((SUM(Q38:Q1033)),$A$3:$A$45,1)):INDEX($B$3:$B$45,MATCH((SUM(Q38:Q1033)),$A$3:$A$45,1)+1),INDEX($A$3:$A$45,MATCH((SUM(Q38:Q1033)),$A$3:$A$45,1)):INDEX($A$3:$A$45,MATCH((SUM(Q38:Q1033)),$A$3:$A$45,1)+1))</f>
        <v>#N/A</v>
      </c>
      <c r="S38" s="97" t="e">
        <f t="shared" si="125"/>
        <v>#N/A</v>
      </c>
      <c r="T38" s="61">
        <f>SUM('FU Distribution'!AI100:$AI$109)</f>
        <v>0</v>
      </c>
      <c r="U38" s="96" t="e">
        <f>FORECAST((SUM(T38:T1033)),INDEX($B$3:$B$45,MATCH((SUM(T38:T1033)),$A$3:$A$45,1)):INDEX($B$3:$B$45,MATCH((SUM(T38:T1033)),$A$3:$A$45,1)+1),INDEX($A$3:$A$45,MATCH((SUM(T38:T1033)),$A$3:$A$45,1)):INDEX($A$3:$A$45,MATCH((SUM(T38:T1033)),$A$3:$A$45,1)+1))</f>
        <v>#N/A</v>
      </c>
      <c r="V38" s="97" t="e">
        <f t="shared" si="0"/>
        <v>#N/A</v>
      </c>
      <c r="W38" s="75">
        <f>SUM('FU Distribution'!AK100:$AK$109)+IF('FU Distribution'!$D$112=4,'FU Distribution'!$D$114,0)</f>
        <v>0</v>
      </c>
      <c r="X38" s="96" t="e">
        <f>FORECAST((SUM(W38:W1033)),INDEX($B$3:$B$45,MATCH((SUM(W38:W1033)),$A$3:$A$45,1)):INDEX($B$3:$B$45,MATCH((SUM(W38:W1033)),$A$3:$A$45,1)+1),INDEX($A$3:$A$45,MATCH((SUM(W38:W1033)),$A$3:$A$45,1)):INDEX($A$3:$A$45,MATCH((SUM(W38:W1033)),$A$3:$A$45,1)+1))</f>
        <v>#N/A</v>
      </c>
      <c r="Y38" s="97" t="e">
        <f t="shared" si="1"/>
        <v>#N/A</v>
      </c>
      <c r="Z38" s="75">
        <f>SUM('FU Distribution'!AL100:$AL$109)</f>
        <v>0</v>
      </c>
      <c r="AA38" s="96" t="e">
        <f>FORECAST((SUM(Z38:Z1033)),INDEX($B$3:$B$45,MATCH((SUM(Z38:Z1033)),$A$3:$A$45,1)):INDEX($B$3:$B$45,MATCH((SUM(Z38:Z1033)),$A$3:$A$45,1)+1),INDEX($A$3:$A$45,MATCH((SUM(Z38:Z1033)),$A$3:$A$45,1)):INDEX($A$3:$A$45,MATCH((SUM(Z38:Z1033)),$A$3:$A$45,1)+1))</f>
        <v>#N/A</v>
      </c>
      <c r="AB38" s="97" t="e">
        <f t="shared" si="126"/>
        <v>#N/A</v>
      </c>
      <c r="AC38" s="61">
        <f>SUM('FU Distribution'!AN100:$AN$109)+IF('FU Distribution'!$D$112=5,'FU Distribution'!$D$114,0)</f>
        <v>0</v>
      </c>
      <c r="AD38" s="96" t="e">
        <f>FORECAST((SUM(AC38:AC1033)),INDEX($B$3:$B$45,MATCH((SUM(AC38:AC1033)),$A$3:$A$45,1)):INDEX($B$3:$B$45,MATCH((SUM(AC38:AC1033)),$A$3:$A$45,1)+1),INDEX($A$3:$A$45,MATCH((SUM(AC38:AC1033)),$A$3:$A$45,1)):INDEX($A$3:$A$45,MATCH((SUM(AC38:AC1033)),$A$3:$A$45,1)+1))</f>
        <v>#N/A</v>
      </c>
      <c r="AE38" s="97" t="e">
        <f t="shared" si="127"/>
        <v>#N/A</v>
      </c>
      <c r="AF38" s="61">
        <f>SUM('FU Distribution'!AO100:$AO$109)</f>
        <v>0</v>
      </c>
      <c r="AG38" s="96" t="e">
        <f>FORECAST((SUM(AF38:AF1033)),INDEX($B$3:$B$45,MATCH((SUM(AF38:AF1033)),$A$3:$A$45,1)):INDEX($B$3:$B$45,MATCH((SUM(AF38:AF1033)),$A$3:$A$45,1)+1),INDEX($A$3:$A$45,MATCH((SUM(AF38:AF1033)),$A$3:$A$45,1)):INDEX($A$3:$A$45,MATCH((SUM(AF38:AF1033)),$A$3:$A$45,1)+1))</f>
        <v>#N/A</v>
      </c>
      <c r="AH38" s="97" t="e">
        <f t="shared" si="128"/>
        <v>#N/A</v>
      </c>
      <c r="AI38" s="75">
        <f>SUM('FU Distribution'!AQ100:$AQ$109)+IF('FU Distribution'!$D$112=6,'FU Distribution'!$D$114,0)</f>
        <v>0</v>
      </c>
      <c r="AJ38" s="96" t="e">
        <f>FORECAST((SUM(AI38:AI1033)),INDEX($B$3:$B$45,MATCH((SUM(AI38:AI1033)),$A$3:$A$45,1)):INDEX($B$3:$B$45,MATCH((SUM(AI38:AI1033)),$A$3:$A$45,1)+1),INDEX($A$3:$A$45,MATCH((SUM(AI38:AI1033)),$A$3:$A$45,1)):INDEX($A$3:$A$45,MATCH((SUM(AI38:AI1033)),$A$3:$A$45,1)+1))</f>
        <v>#N/A</v>
      </c>
      <c r="AK38" s="97" t="e">
        <f t="shared" si="129"/>
        <v>#N/A</v>
      </c>
      <c r="AL38" s="75">
        <f>SUM('FU Distribution'!AR100:$AR$109)</f>
        <v>0</v>
      </c>
      <c r="AM38" s="96" t="e">
        <f>FORECAST((SUM(AL38:AL1033)),INDEX($B$3:$B$45,MATCH((SUM(AL38:AL1033)),$A$3:$A$45,1)):INDEX($B$3:$B$45,MATCH((SUM(AL38:AL1033)),$A$3:$A$45,1)+1),INDEX($A$3:$A$45,MATCH((SUM(AL38:AL1033)),$A$3:$A$45,1)):INDEX($A$3:$A$45,MATCH((SUM(AL38:AL1033)),$A$3:$A$45,1)+1))</f>
        <v>#N/A</v>
      </c>
      <c r="AN38" s="97" t="e">
        <f t="shared" si="130"/>
        <v>#N/A</v>
      </c>
      <c r="AO38" s="61">
        <f>SUM('FU Distribution'!AT100:$AT$109)+IF('FU Distribution'!$D$112=7,'FU Distribution'!$D$114,0)</f>
        <v>0</v>
      </c>
      <c r="AP38" s="96" t="e">
        <f>FORECAST((SUM(AO38:AO1033)),INDEX($B$3:$B$45,MATCH((SUM(AO38:AO1033)),$A$3:$A$45,1)):INDEX($B$3:$B$45,MATCH((SUM(AO38:AO1033)),$A$3:$A$45,1)+1),INDEX($A$3:$A$45,MATCH((SUM(AO38:AO1033)),$A$3:$A$45,1)):INDEX($A$3:$A$45,MATCH((SUM(AO38:AO1033)),$A$3:$A$45,1)+1))</f>
        <v>#N/A</v>
      </c>
      <c r="AQ38" s="97" t="e">
        <f t="shared" si="131"/>
        <v>#N/A</v>
      </c>
      <c r="AR38" s="61">
        <f>SUM('FU Distribution'!AU100:$AU$109)</f>
        <v>0</v>
      </c>
      <c r="AS38" s="96" t="e">
        <f>FORECAST((SUM(AR38:AR1033)),INDEX($B$3:$B$45,MATCH((SUM(AR38:AR1033)),$A$3:$A$45,1)):INDEX($B$3:$B$45,MATCH((SUM(AR38:AR1033)),$A$3:$A$45,1)+1),INDEX($A$3:$A$45,MATCH((SUM(AR38:AR1033)),$A$3:$A$45,1)):INDEX($A$3:$A$45,MATCH((SUM(AR38:AR1033)),$A$3:$A$45,1)+1))</f>
        <v>#N/A</v>
      </c>
      <c r="AT38" s="97" t="e">
        <f t="shared" si="132"/>
        <v>#N/A</v>
      </c>
      <c r="AU38" s="61">
        <f>SUM('FU Distribution'!AW100:$AW$109)+IF('FU Distribution'!$D$112=8,'FU Distribution'!$D$114,0)</f>
        <v>0</v>
      </c>
      <c r="AV38" s="98" t="e">
        <f>FORECAST(AU38,INDEX($B$3:$B$45,MATCH(AU38,$A$3:$A$45,1)):INDEX($B$3:$B$45,MATCH(AU38,$A$3:$A$45,1)+1),INDEX($A$3:$A$45,MATCH(AU38,$A$3:$A$45,1)):INDEX($A$3:$A$45,MATCH(AU38,$A$3:$A$45,1)+1))</f>
        <v>#N/A</v>
      </c>
      <c r="AW38" s="97" t="e">
        <f t="shared" si="133"/>
        <v>#N/A</v>
      </c>
      <c r="AX38" s="61">
        <f>SUM('FU Distribution'!AX100:$AX$109)</f>
        <v>0</v>
      </c>
      <c r="AY38" s="98" t="e">
        <f>FORECAST(AX38,INDEX($B$3:$B$45,MATCH(AX38,$A$3:$A$45,1)):INDEX($B$3:$B$45,MATCH(AX38,$A$3:$A$45,1)+1),INDEX($A$3:$A$45,MATCH(AX38,$A$3:$A$45,1)):INDEX($A$3:$A$45,MATCH(AX38,$A$3:$A$45,1)+1))</f>
        <v>#N/A</v>
      </c>
      <c r="AZ38" s="97" t="e">
        <f t="shared" si="134"/>
        <v>#N/A</v>
      </c>
      <c r="BA38" s="75">
        <f>SUM('FU Distribution'!AZ100:$AZ$109)+IF('FU Distribution'!$D$112=9,'FU Distribution'!$D$114,0)</f>
        <v>0</v>
      </c>
      <c r="BB38" s="76" t="e">
        <f>FORECAST((SUM(BA38:BA1033)),INDEX($B$3:$B$45,MATCH((SUM(BA38:BA1033)),$A$3:$A$45,1)):INDEX($B$3:$B$45,MATCH((SUM(BA38:BA1033)),$A$3:$A$45,1)+1),INDEX($A$3:$A$45,MATCH((SUM(BA38:BA1033)),$A$3:$A$45,1)):INDEX($A$3:$A$45,MATCH((SUM(BA38:BA1033)),$A$3:$A$45,1)+1))</f>
        <v>#N/A</v>
      </c>
      <c r="BC38" s="77" t="e">
        <f t="shared" si="3"/>
        <v>#N/A</v>
      </c>
      <c r="BD38" s="75">
        <f>SUM('FU Distribution'!BA100:$BA$109)</f>
        <v>0</v>
      </c>
      <c r="BE38" s="76" t="e">
        <f>FORECAST((SUM(BD38:BD1033)),INDEX($B$3:$B$45,MATCH((SUM(BD38:BD1033)),$A$3:$A$45,1)):INDEX($B$3:$B$45,MATCH((SUM(BD38:BD1033)),$A$3:$A$45,1)+1),INDEX($A$3:$A$45,MATCH((SUM(BD38:BD1033)),$A$3:$A$45,1)):INDEX($A$3:$A$45,MATCH((SUM(BD38:BD1033)),$A$3:$A$45,1)+1))</f>
        <v>#N/A</v>
      </c>
      <c r="BF38" s="77" t="e">
        <f t="shared" si="4"/>
        <v>#N/A</v>
      </c>
      <c r="BG38" s="61">
        <f>SUM('FU Distribution'!BC100:$BC$109)+IF('FU Distribution'!$D$112=10,'FU Distribution'!$D$114,0)</f>
        <v>0</v>
      </c>
      <c r="BH38" s="62" t="e">
        <f>FORECAST((SUM(BG38:BG1033)),INDEX($B$3:$B$45,MATCH((SUM(BG38:BG1033)),$A$3:$A$45,1)):INDEX($B$3:$B$45,MATCH((SUM(BG38:BG1033)),$A$3:$A$45,1)+1),INDEX($A$3:$A$45,MATCH((SUM(BG38:BG1033)),$A$3:$A$45,1)):INDEX($A$3:$A$45,MATCH((SUM(BG38:BG1033)),$A$3:$A$45,1)+1))</f>
        <v>#N/A</v>
      </c>
      <c r="BI38" s="74" t="e">
        <f t="shared" si="5"/>
        <v>#N/A</v>
      </c>
      <c r="BJ38" s="61">
        <f>SUM('FU Distribution'!BD100:$BD$109)</f>
        <v>0</v>
      </c>
      <c r="BK38" s="62" t="e">
        <f>FORECAST((SUM(BJ38:BJ1033)),INDEX($B$3:$B$45,MATCH((SUM(BJ38:BJ1033)),$A$3:$A$45,1)):INDEX($B$3:$B$45,MATCH((SUM(BJ38:BJ1033)),$A$3:$A$45,1)+1),INDEX($A$3:$A$45,MATCH((SUM(BJ38:BJ1033)),$A$3:$A$45,1)):INDEX($A$3:$A$45,MATCH((SUM(BJ38:BJ1033)),$A$3:$A$45,1)+1))</f>
        <v>#N/A</v>
      </c>
      <c r="BL38" s="74" t="e">
        <f t="shared" si="6"/>
        <v>#N/A</v>
      </c>
      <c r="BM38" s="75">
        <f>SUM('FU Distribution'!BF100:$BF$109)+IF('FU Distribution'!$D$112=11,'FU Distribution'!$D$114,0)</f>
        <v>0</v>
      </c>
      <c r="BN38" s="76" t="e">
        <f>FORECAST((SUM(BM38:BM1033)),INDEX($B$3:$B$45,MATCH((SUM(BM38:BM1033)),$A$3:$A$45,1)):INDEX($B$3:$B$45,MATCH((SUM(BM38:BM1033)),$A$3:$A$45,1)+1),INDEX($A$3:$A$45,MATCH((SUM(BM38:BM1033)),$A$3:$A$45,1)):INDEX($A$3:$A$45,MATCH((SUM(BM38:BM1033)),$A$3:$A$45,1)+1))</f>
        <v>#N/A</v>
      </c>
      <c r="BO38" s="77" t="e">
        <f t="shared" si="7"/>
        <v>#N/A</v>
      </c>
      <c r="BP38" s="75">
        <f>SUM('FU Distribution'!BG100:$BG$109)</f>
        <v>0</v>
      </c>
      <c r="BQ38" s="76" t="e">
        <f>FORECAST((SUM(BP38:BP1033)),INDEX($B$3:$B$45,MATCH((SUM(BP38:BP1033)),$A$3:$A$45,1)):INDEX($B$3:$B$45,MATCH((SUM(BP38:BP1033)),$A$3:$A$45,1)+1),INDEX($A$3:$A$45,MATCH((SUM(BP38:BP1033)),$A$3:$A$45,1)):INDEX($A$3:$A$45,MATCH((SUM(BP38:BP1033)),$A$3:$A$45,1)+1))</f>
        <v>#N/A</v>
      </c>
      <c r="BR38" s="77" t="e">
        <f t="shared" si="8"/>
        <v>#N/A</v>
      </c>
      <c r="BS38" s="61">
        <f>SUM('FU Distribution'!BI100:$BI$109)+IF('FU Distribution'!$D$112=12,'FU Distribution'!$D$114,0)</f>
        <v>0</v>
      </c>
      <c r="BT38" s="62" t="e">
        <f>FORECAST(BS38,INDEX($B$3:$B$45,MATCH(BS38,$A$3:$A$45,1)):INDEX($B$3:$B$45,MATCH(BS38,$A$3:$A$45,1)+1),INDEX($A$3:$A$45,MATCH(BS38,$A$3:$A$45,1)):INDEX($A$3:$A$45,MATCH(BS38,$A$3:$A$45,1)+1))</f>
        <v>#N/A</v>
      </c>
      <c r="BU38" s="74" t="e">
        <f t="shared" si="9"/>
        <v>#N/A</v>
      </c>
      <c r="BV38" s="61">
        <f>SUM('FU Distribution'!BJ100:$BJ$109)</f>
        <v>0</v>
      </c>
      <c r="BW38" s="62" t="e">
        <f>FORECAST(BV38,INDEX($B$3:$B$45,MATCH(BV38,$A$3:$A$45,1)):INDEX($B$3:$B$45,MATCH(BV38,$A$3:$A$45,1)+1),INDEX($A$3:$A$45,MATCH(BV38,$A$3:$A$45,1)):INDEX($A$3:$A$45,MATCH(BV38,$A$3:$A$45,1)+1))</f>
        <v>#N/A</v>
      </c>
      <c r="BX38" s="74" t="e">
        <f t="shared" si="10"/>
        <v>#N/A</v>
      </c>
      <c r="BY38" s="75">
        <f>SUM('FU Distribution'!BL100:$BL$109)+IF('FU Distribution'!$D$112=13,'FU Distribution'!$D$114,0)</f>
        <v>0</v>
      </c>
      <c r="BZ38" s="76" t="e">
        <f>FORECAST(BY38,INDEX($B$3:$B$45,MATCH(BY38,$A$3:$A$45,1)):INDEX($B$3:$B$45,MATCH(BY38,$A$3:$A$45,1)+1),INDEX($A$3:$A$45,MATCH(BY38,$A$3:$A$45,1)):INDEX($A$3:$A$45,MATCH(BY38,$A$3:$A$45,1)+1))</f>
        <v>#N/A</v>
      </c>
      <c r="CA38" s="77" t="e">
        <f t="shared" si="11"/>
        <v>#N/A</v>
      </c>
      <c r="CB38" s="75">
        <f>SUM('FU Distribution'!BM100:$BM$109)</f>
        <v>0</v>
      </c>
      <c r="CC38" s="76" t="e">
        <f>FORECAST(CB38,INDEX($B$3:$B$45,MATCH(CB38,$A$3:$A$45,1)):INDEX($B$3:$B$45,MATCH(CB38,$A$3:$A$45,1)+1),INDEX($A$3:$A$45,MATCH(CB38,$A$3:$A$45,1)):INDEX($A$3:$A$45,MATCH(CB38,$A$3:$A$45,1)+1))</f>
        <v>#N/A</v>
      </c>
      <c r="CD38" s="77" t="e">
        <f t="shared" si="12"/>
        <v>#N/A</v>
      </c>
      <c r="CE38" s="61">
        <f>SUM('FU Distribution'!BO100:$BO$109)+IF('FU Distribution'!$D$112=13,'FU Distribution'!$D$114,0)</f>
        <v>0</v>
      </c>
      <c r="CF38" s="62" t="e">
        <f>FORECAST(CE38,INDEX($B$3:$B$45,MATCH(CE38,$A$3:$A$45,1)):INDEX($B$3:$B$45,MATCH(CE38,$A$3:$A$45,1)+1),INDEX($A$3:$A$45,MATCH(CE38,$A$3:$A$45,1)):INDEX($A$3:$A$45,MATCH(CE38,$A$3:$A$45,1)+1))</f>
        <v>#N/A</v>
      </c>
      <c r="CG38" s="74" t="e">
        <f t="shared" si="13"/>
        <v>#N/A</v>
      </c>
      <c r="CH38" s="61">
        <f>SUM('FU Distribution'!BP100:$BP$109)</f>
        <v>0</v>
      </c>
      <c r="CI38" s="62" t="e">
        <f>FORECAST(CH38,INDEX($B$3:$B$45,MATCH(CH38,$A$3:$A$45,1)):INDEX($B$3:$B$45,MATCH(CH38,$A$3:$A$45,1)+1),INDEX($A$3:$A$45,MATCH(CH38,$A$3:$A$45,1)):INDEX($A$3:$A$45,MATCH(CH38,$A$3:$A$45,1)+1))</f>
        <v>#N/A</v>
      </c>
      <c r="CJ38" s="74" t="e">
        <f t="shared" si="14"/>
        <v>#N/A</v>
      </c>
    </row>
    <row r="39" spans="1:88" x14ac:dyDescent="0.25">
      <c r="A39" s="2">
        <v>1500</v>
      </c>
      <c r="B39" s="2">
        <v>270</v>
      </c>
      <c r="C39" s="63"/>
      <c r="D39" s="52">
        <v>35</v>
      </c>
      <c r="E39" s="61">
        <f>SUM('FU Distribution'!AB101:$AB$109)+IF('FU Distribution'!$D$112=1,'FU Distribution'!$D$114,0)</f>
        <v>0</v>
      </c>
      <c r="F39" s="98" t="e">
        <f>FORECAST((SUM(E39:E1034)),INDEX($B$3:$B$45,MATCH((SUM(E39:E1034)),$A$3:$A$45,1)):INDEX($B$3:$B$45,MATCH((SUM(E39:E1034)),$A$3:$A$45,1)+1),INDEX($A$3:$A$45,MATCH((SUM(E39:E1034)),$A$3:$A$45,1)):INDEX($A$3:$A$45,MATCH((SUM(E39:E1034)),$A$3:$A$45,1)+1))</f>
        <v>#N/A</v>
      </c>
      <c r="G39" s="99" t="e">
        <f t="shared" ref="G39:G43" si="135">IF(AND(F39&lt;=750,F39&gt;250),6,IF(AND(F39&lt;=250,F39&gt;120),4,IF(AND(F39&lt;=120,F39&gt;75),3,IF(AND(F39&lt;=75,F39&gt;40),2.5,IF(AND(F39&lt;=40,F39&gt;20),2,IF(AND(F39&lt;=20,F39&gt;14),1.5,IF(AND(F39&lt;=14,F39&gt;7),1.25,IF(AND(F39&lt;=7,F39&gt;3.5),1,IF(AND(F39&lt;=3.5,F39&gt;1.7),0.75,IF(AND(F39&lt;=1.7,F39&gt;0),0.5))))))))))</f>
        <v>#N/A</v>
      </c>
      <c r="H39" s="61">
        <f>SUM('FU Distribution'!AC101:$AC$109)</f>
        <v>0</v>
      </c>
      <c r="I39" s="98" t="e">
        <f>FORECAST((SUM(H39:H1034)),INDEX($B$3:$B$45,MATCH((SUM(H39:H1034)),$A$3:$A$45,1)):INDEX($B$3:$B$45,MATCH((SUM(H39:H1034)),$A$3:$A$45,1)+1),INDEX($A$3:$A$45,MATCH((SUM(H39:H1034)),$A$3:$A$45,1)):INDEX($A$3:$A$45,MATCH((SUM(H39:H1034)),$A$3:$A$45,1)+1))</f>
        <v>#N/A</v>
      </c>
      <c r="J39" s="99" t="e">
        <f t="shared" ref="J39:J43" si="136">IF(AND(I39&lt;=750,I39&gt;250),6,IF(AND(I39&lt;=250,I39&gt;120),4,IF(AND(I39&lt;=120,I39&gt;75),3,IF(AND(I39&lt;=75,I39&gt;40),2.5,IF(AND(I39&lt;=40,I39&gt;20),2,IF(AND(I39&lt;=20,I39&gt;14),1.5,IF(AND(I39&lt;=14,I39&gt;7),1.25,IF(AND(I39&lt;=7,I39&gt;3.5),1,IF(AND(I39&lt;=3.5,I39&gt;1.7),0.75,IF(AND(I39&lt;=1.7,I39&gt;0),0.5))))))))))</f>
        <v>#N/A</v>
      </c>
      <c r="K39" s="75">
        <f>SUM('FU Distribution'!AE101:$AE$109)+IF('FU Distribution'!$D$112=2,'FU Distribution'!$D$114,0)</f>
        <v>0</v>
      </c>
      <c r="L39" s="100" t="e">
        <f>FORECAST((SUM(K39:K1034)),INDEX($B$3:$B$45,MATCH((SUM(K39:K1034)),$A$3:$A$45,1)):INDEX($B$3:$B$45,MATCH((SUM(K39:K1034)),$A$3:$A$45,1)+1),INDEX($A$3:$A$45,MATCH((SUM(K39:K1034)),$A$3:$A$45,1)):INDEX($A$3:$A$45,MATCH((SUM(K39:K1034)),$A$3:$A$45,1)+1))</f>
        <v>#N/A</v>
      </c>
      <c r="M39" s="101" t="e">
        <f t="shared" ref="M39:M40" si="137">IF(AND(L39&lt;=750,L39&gt;250),6,IF(AND(L39&lt;=250,L39&gt;120),4,IF(AND(L39&lt;=120,L39&gt;75),3,IF(AND(L39&lt;=75,L39&gt;40),2.5,IF(AND(L39&lt;=40,L39&gt;20),2,IF(AND(L39&lt;=20,L39&gt;14),1.5,IF(AND(L39&lt;=14,L39&gt;7),1.25,IF(AND(L39&lt;=7,L39&gt;3.5),1,IF(AND(L39&lt;=3.5,L39&gt;1.7),0.75,IF(AND(L39&lt;=1.7,L39&gt;0),0.5))))))))))</f>
        <v>#N/A</v>
      </c>
      <c r="N39" s="75">
        <f>SUM('FU Distribution'!AF101:$AF$109)</f>
        <v>0</v>
      </c>
      <c r="O39" s="100" t="e">
        <f>FORECAST((SUM(N39:N1034)),INDEX($B$3:$B$45,MATCH((SUM(N39:N1034)),$A$3:$A$45,1)):INDEX($B$3:$B$45,MATCH((SUM(N39:N1034)),$A$3:$A$45,1)+1),INDEX($A$3:$A$45,MATCH((SUM(N39:N1034)),$A$3:$A$45,1)):INDEX($A$3:$A$45,MATCH((SUM(N39:N1034)),$A$3:$A$45,1)+1))</f>
        <v>#N/A</v>
      </c>
      <c r="P39" s="101" t="e">
        <f t="shared" ref="P39:P43" si="138">IF(AND(O39&lt;=750,O39&gt;250),6,IF(AND(O39&lt;=250,O39&gt;120),4,IF(AND(O39&lt;=120,O39&gt;75),3,IF(AND(O39&lt;=75,O39&gt;40),2.5,IF(AND(O39&lt;=40,O39&gt;20),2,IF(AND(O39&lt;=20,O39&gt;14),1.5,IF(AND(O39&lt;=14,O39&gt;7),1.25,IF(AND(O39&lt;=7,O39&gt;3.5),1,IF(AND(O39&lt;=3.5,O39&gt;1.7),0.75,IF(AND(O39&lt;=1.7,O39&gt;0),0.5))))))))))</f>
        <v>#N/A</v>
      </c>
      <c r="Q39" s="61">
        <f>SUM('FU Distribution'!AH101:$AH$109)+IF('FU Distribution'!$D$112=3,'FU Distribution'!$D$114,0)</f>
        <v>0</v>
      </c>
      <c r="R39" s="98" t="e">
        <f>FORECAST((SUM(Q39:Q1034)),INDEX($B$3:$B$45,MATCH((SUM(Q39:Q1034)),$A$3:$A$45,1)):INDEX($B$3:$B$45,MATCH((SUM(Q39:Q1034)),$A$3:$A$45,1)+1),INDEX($A$3:$A$45,MATCH((SUM(Q39:Q1034)),$A$3:$A$45,1)):INDEX($A$3:$A$45,MATCH((SUM(Q39:Q1034)),$A$3:$A$45,1)+1))</f>
        <v>#N/A</v>
      </c>
      <c r="S39" s="99" t="e">
        <f t="shared" ref="S39:S43" si="139">IF(AND(R39&lt;=750,R39&gt;250),6,IF(AND(R39&lt;=250,R39&gt;120),4,IF(AND(R39&lt;=120,R39&gt;75),3,IF(AND(R39&lt;=75,R39&gt;40),2.5,IF(AND(R39&lt;=40,R39&gt;20),2,IF(AND(R39&lt;=20,R39&gt;14),1.5,IF(AND(R39&lt;=14,R39&gt;7),1.25,IF(AND(R39&lt;=7,R39&gt;3.5),1,IF(AND(R39&lt;=3.5,R39&gt;1.7),0.75,IF(AND(R39&lt;=1.7,R39&gt;0),0.5))))))))))</f>
        <v>#N/A</v>
      </c>
      <c r="T39" s="61">
        <f>SUM('FU Distribution'!AI101:$AI$109)</f>
        <v>0</v>
      </c>
      <c r="U39" s="98" t="e">
        <f>FORECAST((SUM(T39:T1034)),INDEX($B$3:$B$45,MATCH((SUM(T39:T1034)),$A$3:$A$45,1)):INDEX($B$3:$B$45,MATCH((SUM(T39:T1034)),$A$3:$A$45,1)+1),INDEX($A$3:$A$45,MATCH((SUM(T39:T1034)),$A$3:$A$45,1)):INDEX($A$3:$A$45,MATCH((SUM(T39:T1034)),$A$3:$A$45,1)+1))</f>
        <v>#N/A</v>
      </c>
      <c r="V39" s="99" t="e">
        <f t="shared" si="0"/>
        <v>#N/A</v>
      </c>
      <c r="W39" s="75">
        <f>SUM('FU Distribution'!AK101:$AK$109)+IF('FU Distribution'!$D$112=4,'FU Distribution'!$D$114,0)</f>
        <v>0</v>
      </c>
      <c r="X39" s="100" t="e">
        <f>FORECAST((SUM(W39:W1034)),INDEX($B$3:$B$45,MATCH((SUM(W39:W1034)),$A$3:$A$45,1)):INDEX($B$3:$B$45,MATCH((SUM(W39:W1034)),$A$3:$A$45,1)+1),INDEX($A$3:$A$45,MATCH((SUM(W39:W1034)),$A$3:$A$45,1)):INDEX($A$3:$A$45,MATCH((SUM(W39:W1034)),$A$3:$A$45,1)+1))</f>
        <v>#N/A</v>
      </c>
      <c r="Y39" s="101" t="e">
        <f t="shared" si="1"/>
        <v>#N/A</v>
      </c>
      <c r="Z39" s="75">
        <f>SUM('FU Distribution'!AL101:$AL$109)</f>
        <v>0</v>
      </c>
      <c r="AA39" s="100" t="e">
        <f>FORECAST((SUM(Z39:Z1034)),INDEX($B$3:$B$45,MATCH((SUM(Z39:Z1034)),$A$3:$A$45,1)):INDEX($B$3:$B$45,MATCH((SUM(Z39:Z1034)),$A$3:$A$45,1)+1),INDEX($A$3:$A$45,MATCH((SUM(Z39:Z1034)),$A$3:$A$45,1)):INDEX($A$3:$A$45,MATCH((SUM(Z39:Z1034)),$A$3:$A$45,1)+1))</f>
        <v>#N/A</v>
      </c>
      <c r="AB39" s="101" t="e">
        <f t="shared" ref="AB39:AB43" si="140">IF(AND(AA39&lt;=750,AA39&gt;250),6,IF(AND(AA39&lt;=250,AA39&gt;120),4,IF(AND(AA39&lt;=120,AA39&gt;75),3,IF(AND(AA39&lt;=75,AA39&gt;40),2.5,IF(AND(AA39&lt;=40,AA39&gt;20),2,IF(AND(AA39&lt;=20,AA39&gt;14),1.5,IF(AND(AA39&lt;=14,AA39&gt;7),1.25,IF(AND(AA39&lt;=7,AA39&gt;3.5),1,IF(AND(AA39&lt;=3.5,AA39&gt;1.7),0.75,IF(AND(AA39&lt;=1.7,AA39&gt;0),0.5))))))))))</f>
        <v>#N/A</v>
      </c>
      <c r="AC39" s="61">
        <f>SUM('FU Distribution'!AN101:$AN$109)+IF('FU Distribution'!$D$112=5,'FU Distribution'!$D$114,0)</f>
        <v>0</v>
      </c>
      <c r="AD39" s="98" t="e">
        <f>FORECAST((SUM(AC39:AC1034)),INDEX($B$3:$B$45,MATCH((SUM(AC39:AC1034)),$A$3:$A$45,1)):INDEX($B$3:$B$45,MATCH((SUM(AC39:AC1034)),$A$3:$A$45,1)+1),INDEX($A$3:$A$45,MATCH((SUM(AC39:AC1034)),$A$3:$A$45,1)):INDEX($A$3:$A$45,MATCH((SUM(AC39:AC1034)),$A$3:$A$45,1)+1))</f>
        <v>#N/A</v>
      </c>
      <c r="AE39" s="99" t="e">
        <f t="shared" ref="AE39:AE43" si="141">IF(AND(AD39&lt;=750,AD39&gt;250),6,IF(AND(AD39&lt;=250,AD39&gt;120),4,IF(AND(AD39&lt;=120,AD39&gt;75),3,IF(AND(AD39&lt;=75,AD39&gt;40),2.5,IF(AND(AD39&lt;=40,AD39&gt;20),2,IF(AND(AD39&lt;=20,AD39&gt;14),1.5,IF(AND(AD39&lt;=14,AD39&gt;7),1.25,IF(AND(AD39&lt;=7,AD39&gt;3.5),1,IF(AND(AD39&lt;=3.5,AD39&gt;1.7),0.75,IF(AND(AD39&lt;=1.7,AD39&gt;0),0.5))))))))))</f>
        <v>#N/A</v>
      </c>
      <c r="AF39" s="61">
        <f>SUM('FU Distribution'!AO101:$AO$109)</f>
        <v>0</v>
      </c>
      <c r="AG39" s="98" t="e">
        <f>FORECAST((SUM(AF39:AF1034)),INDEX($B$3:$B$45,MATCH((SUM(AF39:AF1034)),$A$3:$A$45,1)):INDEX($B$3:$B$45,MATCH((SUM(AF39:AF1034)),$A$3:$A$45,1)+1),INDEX($A$3:$A$45,MATCH((SUM(AF39:AF1034)),$A$3:$A$45,1)):INDEX($A$3:$A$45,MATCH((SUM(AF39:AF1034)),$A$3:$A$45,1)+1))</f>
        <v>#N/A</v>
      </c>
      <c r="AH39" s="99" t="e">
        <f t="shared" ref="AH39:AH43" si="142">IF(AND(AG39&lt;=750,AG39&gt;250),6,IF(AND(AG39&lt;=250,AG39&gt;120),4,IF(AND(AG39&lt;=120,AG39&gt;75),3,IF(AND(AG39&lt;=75,AG39&gt;40),2.5,IF(AND(AG39&lt;=40,AG39&gt;20),2,IF(AND(AG39&lt;=20,AG39&gt;14),1.5,IF(AND(AG39&lt;=14,AG39&gt;7),1.25,IF(AND(AG39&lt;=7,AG39&gt;3.5),1,IF(AND(AG39&lt;=3.5,AG39&gt;1.7),0.75,IF(AND(AG39&lt;=1.7,AG39&gt;0),0.5))))))))))</f>
        <v>#N/A</v>
      </c>
      <c r="AI39" s="75">
        <f>SUM('FU Distribution'!AQ101:$AQ$109)+IF('FU Distribution'!$D$112=6,'FU Distribution'!$D$114,0)</f>
        <v>0</v>
      </c>
      <c r="AJ39" s="100" t="e">
        <f>FORECAST((SUM(AI39:AI1034)),INDEX($B$3:$B$45,MATCH((SUM(AI39:AI1034)),$A$3:$A$45,1)):INDEX($B$3:$B$45,MATCH((SUM(AI39:AI1034)),$A$3:$A$45,1)+1),INDEX($A$3:$A$45,MATCH((SUM(AI39:AI1034)),$A$3:$A$45,1)):INDEX($A$3:$A$45,MATCH((SUM(AI39:AI1034)),$A$3:$A$45,1)+1))</f>
        <v>#N/A</v>
      </c>
      <c r="AK39" s="101" t="e">
        <f t="shared" ref="AK39:AK43" si="143">IF(AND(AJ39&lt;=750,AJ39&gt;250),6,IF(AND(AJ39&lt;=250,AJ39&gt;120),4,IF(AND(AJ39&lt;=120,AJ39&gt;75),3,IF(AND(AJ39&lt;=75,AJ39&gt;40),2.5,IF(AND(AJ39&lt;=40,AJ39&gt;20),2,IF(AND(AJ39&lt;=20,AJ39&gt;14),1.5,IF(AND(AJ39&lt;=14,AJ39&gt;7),1.25,IF(AND(AJ39&lt;=7,AJ39&gt;3.5),1,IF(AND(AJ39&lt;=3.5,AJ39&gt;1.7),0.75,IF(AND(AJ39&lt;=1.7,AJ39&gt;0),0.5))))))))))</f>
        <v>#N/A</v>
      </c>
      <c r="AL39" s="75">
        <f>SUM('FU Distribution'!AR101:$AR$109)</f>
        <v>0</v>
      </c>
      <c r="AM39" s="100" t="e">
        <f>FORECAST((SUM(AL39:AL1034)),INDEX($B$3:$B$45,MATCH((SUM(AL39:AL1034)),$A$3:$A$45,1)):INDEX($B$3:$B$45,MATCH((SUM(AL39:AL1034)),$A$3:$A$45,1)+1),INDEX($A$3:$A$45,MATCH((SUM(AL39:AL1034)),$A$3:$A$45,1)):INDEX($A$3:$A$45,MATCH((SUM(AL39:AL1034)),$A$3:$A$45,1)+1))</f>
        <v>#N/A</v>
      </c>
      <c r="AN39" s="101" t="e">
        <f t="shared" ref="AN39:AN43" si="144">IF(AND(AM39&lt;=750,AM39&gt;250),6,IF(AND(AM39&lt;=250,AM39&gt;120),4,IF(AND(AM39&lt;=120,AM39&gt;75),3,IF(AND(AM39&lt;=75,AM39&gt;40),2.5,IF(AND(AM39&lt;=40,AM39&gt;20),2,IF(AND(AM39&lt;=20,AM39&gt;14),1.5,IF(AND(AM39&lt;=14,AM39&gt;7),1.25,IF(AND(AM39&lt;=7,AM39&gt;3.5),1,IF(AND(AM39&lt;=3.5,AM39&gt;1.7),0.75,IF(AND(AM39&lt;=1.7,AM39&gt;0),0.5))))))))))</f>
        <v>#N/A</v>
      </c>
      <c r="AO39" s="61">
        <f>SUM('FU Distribution'!AT101:$AT$109)+IF('FU Distribution'!$D$112=7,'FU Distribution'!$D$114,0)</f>
        <v>0</v>
      </c>
      <c r="AP39" s="98" t="e">
        <f>FORECAST((SUM(AO39:AO1034)),INDEX($B$3:$B$45,MATCH((SUM(AO39:AO1034)),$A$3:$A$45,1)):INDEX($B$3:$B$45,MATCH((SUM(AO39:AO1034)),$A$3:$A$45,1)+1),INDEX($A$3:$A$45,MATCH((SUM(AO39:AO1034)),$A$3:$A$45,1)):INDEX($A$3:$A$45,MATCH((SUM(AO39:AO1034)),$A$3:$A$45,1)+1))</f>
        <v>#N/A</v>
      </c>
      <c r="AQ39" s="99" t="e">
        <f t="shared" ref="AQ39:AQ43" si="145">IF(AND(AP39&lt;=750,AP39&gt;250),6,IF(AND(AP39&lt;=250,AP39&gt;120),4,IF(AND(AP39&lt;=120,AP39&gt;75),3,IF(AND(AP39&lt;=75,AP39&gt;40),2.5,IF(AND(AP39&lt;=40,AP39&gt;20),2,IF(AND(AP39&lt;=20,AP39&gt;14),1.5,IF(AND(AP39&lt;=14,AP39&gt;7),1.25,IF(AND(AP39&lt;=7,AP39&gt;3.5),1,IF(AND(AP39&lt;=3.5,AP39&gt;1.7),0.75,IF(AND(AP39&lt;=1.7,AP39&gt;0),0.5))))))))))</f>
        <v>#N/A</v>
      </c>
      <c r="AR39" s="61">
        <f>SUM('FU Distribution'!AU101:$AU$109)</f>
        <v>0</v>
      </c>
      <c r="AS39" s="98" t="e">
        <f>FORECAST((SUM(AR39:AR1034)),INDEX($B$3:$B$45,MATCH((SUM(AR39:AR1034)),$A$3:$A$45,1)):INDEX($B$3:$B$45,MATCH((SUM(AR39:AR1034)),$A$3:$A$45,1)+1),INDEX($A$3:$A$45,MATCH((SUM(AR39:AR1034)),$A$3:$A$45,1)):INDEX($A$3:$A$45,MATCH((SUM(AR39:AR1034)),$A$3:$A$45,1)+1))</f>
        <v>#N/A</v>
      </c>
      <c r="AT39" s="99" t="e">
        <f t="shared" ref="AT39:AT43" si="146">IF(AND(AS39&lt;=750,AS39&gt;250),6,IF(AND(AS39&lt;=250,AS39&gt;120),4,IF(AND(AS39&lt;=120,AS39&gt;75),3,IF(AND(AS39&lt;=75,AS39&gt;40),2.5,IF(AND(AS39&lt;=40,AS39&gt;20),2,IF(AND(AS39&lt;=20,AS39&gt;14),1.5,IF(AND(AS39&lt;=14,AS39&gt;7),1.25,IF(AND(AS39&lt;=7,AS39&gt;3.5),1,IF(AND(AS39&lt;=3.5,AS39&gt;1.7),0.75,IF(AND(AS39&lt;=1.7,AS39&gt;0),0.5))))))))))</f>
        <v>#N/A</v>
      </c>
      <c r="AU39" s="61">
        <f>SUM('FU Distribution'!AW101:$AW$109)+IF('FU Distribution'!$D$112=8,'FU Distribution'!$D$114,0)</f>
        <v>0</v>
      </c>
      <c r="AV39" s="98" t="e">
        <f>FORECAST(AU39,INDEX($B$3:$B$45,MATCH(AU39,$A$3:$A$45,1)):INDEX($B$3:$B$45,MATCH(AU39,$A$3:$A$45,1)+1),INDEX($A$3:$A$45,MATCH(AU39,$A$3:$A$45,1)):INDEX($A$3:$A$45,MATCH(AU39,$A$3:$A$45,1)+1))</f>
        <v>#N/A</v>
      </c>
      <c r="AW39" s="99" t="e">
        <f t="shared" ref="AW39:AW43" si="147">IF(AND(AV39&lt;=750,AV39&gt;250),6,IF(AND(AV39&lt;=250,AV39&gt;120),4,IF(AND(AV39&lt;=120,AV39&gt;75),3,IF(AND(AV39&lt;=75,AV39&gt;40),2.5,IF(AND(AV39&lt;=40,AV39&gt;20),2,IF(AND(AV39&lt;=20,AV39&gt;14),1.5,IF(AND(AV39&lt;=14,AV39&gt;7),1.25,IF(AND(AV39&lt;=7,AV39&gt;3.5),1,IF(AND(AV39&lt;=3.5,AV39&gt;1.7),0.75,IF(AND(AV39&lt;=1.7,AV39&gt;0),0.5))))))))))</f>
        <v>#N/A</v>
      </c>
      <c r="AX39" s="61">
        <f>SUM('FU Distribution'!AX101:$AX$109)</f>
        <v>0</v>
      </c>
      <c r="AY39" s="98" t="e">
        <f>FORECAST(AX39,INDEX($B$3:$B$45,MATCH(AX39,$A$3:$A$45,1)):INDEX($B$3:$B$45,MATCH(AX39,$A$3:$A$45,1)+1),INDEX($A$3:$A$45,MATCH(AX39,$A$3:$A$45,1)):INDEX($A$3:$A$45,MATCH(AX39,$A$3:$A$45,1)+1))</f>
        <v>#N/A</v>
      </c>
      <c r="AZ39" s="99" t="e">
        <f t="shared" ref="AZ39:AZ43" si="148">IF(AND(AY39&lt;=750,AY39&gt;250),6,IF(AND(AY39&lt;=250,AY39&gt;120),4,IF(AND(AY39&lt;=120,AY39&gt;75),3,IF(AND(AY39&lt;=75,AY39&gt;40),2.5,IF(AND(AY39&lt;=40,AY39&gt;20),2,IF(AND(AY39&lt;=20,AY39&gt;14),1.5,IF(AND(AY39&lt;=14,AY39&gt;7),1.25,IF(AND(AY39&lt;=7,AY39&gt;3.5),1,IF(AND(AY39&lt;=3.5,AY39&gt;1.7),0.75,IF(AND(AY39&lt;=1.7,AY39&gt;0),0.5))))))))))</f>
        <v>#N/A</v>
      </c>
      <c r="BA39" s="75">
        <f>SUM('FU Distribution'!AZ101:$AZ$109)+IF('FU Distribution'!$D$112=9,'FU Distribution'!$D$114,0)</f>
        <v>0</v>
      </c>
      <c r="BB39" s="76" t="e">
        <f>FORECAST((SUM(BA39:BA1034)),INDEX($B$3:$B$45,MATCH((SUM(BA39:BA1034)),$A$3:$A$45,1)):INDEX($B$3:$B$45,MATCH((SUM(BA39:BA1034)),$A$3:$A$45,1)+1),INDEX($A$3:$A$45,MATCH((SUM(BA39:BA1034)),$A$3:$A$45,1)):INDEX($A$3:$A$45,MATCH((SUM(BA39:BA1034)),$A$3:$A$45,1)+1))</f>
        <v>#N/A</v>
      </c>
      <c r="BC39" s="77" t="e">
        <f t="shared" si="3"/>
        <v>#N/A</v>
      </c>
      <c r="BD39" s="75">
        <f>SUM('FU Distribution'!BA101:$BA$109)</f>
        <v>0</v>
      </c>
      <c r="BE39" s="76" t="e">
        <f>FORECAST((SUM(BD39:BD1034)),INDEX($B$3:$B$45,MATCH((SUM(BD39:BD1034)),$A$3:$A$45,1)):INDEX($B$3:$B$45,MATCH((SUM(BD39:BD1034)),$A$3:$A$45,1)+1),INDEX($A$3:$A$45,MATCH((SUM(BD39:BD1034)),$A$3:$A$45,1)):INDEX($A$3:$A$45,MATCH((SUM(BD39:BD1034)),$A$3:$A$45,1)+1))</f>
        <v>#N/A</v>
      </c>
      <c r="BF39" s="77" t="e">
        <f t="shared" si="4"/>
        <v>#N/A</v>
      </c>
      <c r="BG39" s="61">
        <f>SUM('FU Distribution'!BC101:$BC$109)+IF('FU Distribution'!$D$112=10,'FU Distribution'!$D$114,0)</f>
        <v>0</v>
      </c>
      <c r="BH39" s="62" t="e">
        <f>FORECAST((SUM(BG39:BG1034)),INDEX($B$3:$B$45,MATCH((SUM(BG39:BG1034)),$A$3:$A$45,1)):INDEX($B$3:$B$45,MATCH((SUM(BG39:BG1034)),$A$3:$A$45,1)+1),INDEX($A$3:$A$45,MATCH((SUM(BG39:BG1034)),$A$3:$A$45,1)):INDEX($A$3:$A$45,MATCH((SUM(BG39:BG1034)),$A$3:$A$45,1)+1))</f>
        <v>#N/A</v>
      </c>
      <c r="BI39" s="74" t="e">
        <f t="shared" si="5"/>
        <v>#N/A</v>
      </c>
      <c r="BJ39" s="61">
        <f>SUM('FU Distribution'!BD101:$BD$109)</f>
        <v>0</v>
      </c>
      <c r="BK39" s="62" t="e">
        <f>FORECAST((SUM(BJ39:BJ1034)),INDEX($B$3:$B$45,MATCH((SUM(BJ39:BJ1034)),$A$3:$A$45,1)):INDEX($B$3:$B$45,MATCH((SUM(BJ39:BJ1034)),$A$3:$A$45,1)+1),INDEX($A$3:$A$45,MATCH((SUM(BJ39:BJ1034)),$A$3:$A$45,1)):INDEX($A$3:$A$45,MATCH((SUM(BJ39:BJ1034)),$A$3:$A$45,1)+1))</f>
        <v>#N/A</v>
      </c>
      <c r="BL39" s="74" t="e">
        <f t="shared" si="6"/>
        <v>#N/A</v>
      </c>
      <c r="BM39" s="75">
        <f>SUM('FU Distribution'!BF101:$BF$109)+IF('FU Distribution'!$D$112=11,'FU Distribution'!$D$114,0)</f>
        <v>0</v>
      </c>
      <c r="BN39" s="76" t="e">
        <f>FORECAST((SUM(BM39:BM1034)),INDEX($B$3:$B$45,MATCH((SUM(BM39:BM1034)),$A$3:$A$45,1)):INDEX($B$3:$B$45,MATCH((SUM(BM39:BM1034)),$A$3:$A$45,1)+1),INDEX($A$3:$A$45,MATCH((SUM(BM39:BM1034)),$A$3:$A$45,1)):INDEX($A$3:$A$45,MATCH((SUM(BM39:BM1034)),$A$3:$A$45,1)+1))</f>
        <v>#N/A</v>
      </c>
      <c r="BO39" s="77" t="e">
        <f t="shared" si="7"/>
        <v>#N/A</v>
      </c>
      <c r="BP39" s="75">
        <f>SUM('FU Distribution'!BG101:$BG$109)</f>
        <v>0</v>
      </c>
      <c r="BQ39" s="76" t="e">
        <f>FORECAST((SUM(BP39:BP1034)),INDEX($B$3:$B$45,MATCH((SUM(BP39:BP1034)),$A$3:$A$45,1)):INDEX($B$3:$B$45,MATCH((SUM(BP39:BP1034)),$A$3:$A$45,1)+1),INDEX($A$3:$A$45,MATCH((SUM(BP39:BP1034)),$A$3:$A$45,1)):INDEX($A$3:$A$45,MATCH((SUM(BP39:BP1034)),$A$3:$A$45,1)+1))</f>
        <v>#N/A</v>
      </c>
      <c r="BR39" s="77" t="e">
        <f t="shared" si="8"/>
        <v>#N/A</v>
      </c>
      <c r="BS39" s="61">
        <f>SUM('FU Distribution'!BI101:$BI$109)+IF('FU Distribution'!$D$112=12,'FU Distribution'!$D$114,0)</f>
        <v>0</v>
      </c>
      <c r="BT39" s="62" t="e">
        <f>FORECAST(BS39,INDEX($B$3:$B$45,MATCH(BS39,$A$3:$A$45,1)):INDEX($B$3:$B$45,MATCH(BS39,$A$3:$A$45,1)+1),INDEX($A$3:$A$45,MATCH(BS39,$A$3:$A$45,1)):INDEX($A$3:$A$45,MATCH(BS39,$A$3:$A$45,1)+1))</f>
        <v>#N/A</v>
      </c>
      <c r="BU39" s="74" t="e">
        <f t="shared" si="9"/>
        <v>#N/A</v>
      </c>
      <c r="BV39" s="61">
        <f>SUM('FU Distribution'!BJ101:$BJ$109)</f>
        <v>0</v>
      </c>
      <c r="BW39" s="62" t="e">
        <f>FORECAST(BV39,INDEX($B$3:$B$45,MATCH(BV39,$A$3:$A$45,1)):INDEX($B$3:$B$45,MATCH(BV39,$A$3:$A$45,1)+1),INDEX($A$3:$A$45,MATCH(BV39,$A$3:$A$45,1)):INDEX($A$3:$A$45,MATCH(BV39,$A$3:$A$45,1)+1))</f>
        <v>#N/A</v>
      </c>
      <c r="BX39" s="74" t="e">
        <f t="shared" si="10"/>
        <v>#N/A</v>
      </c>
      <c r="BY39" s="75">
        <f>SUM('FU Distribution'!BL101:$BL$109)+IF('FU Distribution'!$D$112=13,'FU Distribution'!$D$114,0)</f>
        <v>0</v>
      </c>
      <c r="BZ39" s="76" t="e">
        <f>FORECAST(BY39,INDEX($B$3:$B$45,MATCH(BY39,$A$3:$A$45,1)):INDEX($B$3:$B$45,MATCH(BY39,$A$3:$A$45,1)+1),INDEX($A$3:$A$45,MATCH(BY39,$A$3:$A$45,1)):INDEX($A$3:$A$45,MATCH(BY39,$A$3:$A$45,1)+1))</f>
        <v>#N/A</v>
      </c>
      <c r="CA39" s="77" t="e">
        <f t="shared" si="11"/>
        <v>#N/A</v>
      </c>
      <c r="CB39" s="75">
        <f>SUM('FU Distribution'!BM101:$BM$109)</f>
        <v>0</v>
      </c>
      <c r="CC39" s="76" t="e">
        <f>FORECAST(CB39,INDEX($B$3:$B$45,MATCH(CB39,$A$3:$A$45,1)):INDEX($B$3:$B$45,MATCH(CB39,$A$3:$A$45,1)+1),INDEX($A$3:$A$45,MATCH(CB39,$A$3:$A$45,1)):INDEX($A$3:$A$45,MATCH(CB39,$A$3:$A$45,1)+1))</f>
        <v>#N/A</v>
      </c>
      <c r="CD39" s="77" t="e">
        <f t="shared" si="12"/>
        <v>#N/A</v>
      </c>
      <c r="CE39" s="61">
        <f>SUM('FU Distribution'!BO101:$BO$109)+IF('FU Distribution'!$D$112=13,'FU Distribution'!$D$114,0)</f>
        <v>0</v>
      </c>
      <c r="CF39" s="62" t="e">
        <f>FORECAST(CE39,INDEX($B$3:$B$45,MATCH(CE39,$A$3:$A$45,1)):INDEX($B$3:$B$45,MATCH(CE39,$A$3:$A$45,1)+1),INDEX($A$3:$A$45,MATCH(CE39,$A$3:$A$45,1)):INDEX($A$3:$A$45,MATCH(CE39,$A$3:$A$45,1)+1))</f>
        <v>#N/A</v>
      </c>
      <c r="CG39" s="74" t="e">
        <f t="shared" si="13"/>
        <v>#N/A</v>
      </c>
      <c r="CH39" s="61">
        <f>SUM('FU Distribution'!BP101:$BP$109)</f>
        <v>0</v>
      </c>
      <c r="CI39" s="62" t="e">
        <f>FORECAST(CH39,INDEX($B$3:$B$45,MATCH(CH39,$A$3:$A$45,1)):INDEX($B$3:$B$45,MATCH(CH39,$A$3:$A$45,1)+1),INDEX($A$3:$A$45,MATCH(CH39,$A$3:$A$45,1)):INDEX($A$3:$A$45,MATCH(CH39,$A$3:$A$45,1)+1))</f>
        <v>#N/A</v>
      </c>
      <c r="CJ39" s="74" t="e">
        <f t="shared" si="14"/>
        <v>#N/A</v>
      </c>
    </row>
    <row r="40" spans="1:88" x14ac:dyDescent="0.25">
      <c r="A40" s="2">
        <v>1750</v>
      </c>
      <c r="B40" s="2">
        <v>300</v>
      </c>
      <c r="C40" s="63"/>
      <c r="D40" s="52">
        <v>36</v>
      </c>
      <c r="E40" s="61">
        <f>SUM('FU Distribution'!AB102:$AB$109)+IF('FU Distribution'!$D$112=1,'FU Distribution'!$D$114,0)</f>
        <v>0</v>
      </c>
      <c r="F40" s="96" t="e">
        <f>FORECAST((SUM(E40:E1035)),INDEX($B$3:$B$45,MATCH((SUM(E40:E1035)),$A$3:$A$45,1)):INDEX($B$3:$B$45,MATCH((SUM(E40:E1035)),$A$3:$A$45,1)+1),INDEX($A$3:$A$45,MATCH((SUM(E40:E1035)),$A$3:$A$45,1)):INDEX($A$3:$A$45,MATCH((SUM(E40:E1035)),$A$3:$A$45,1)+1))</f>
        <v>#N/A</v>
      </c>
      <c r="G40" s="97" t="e">
        <f t="shared" si="135"/>
        <v>#N/A</v>
      </c>
      <c r="H40" s="61">
        <f>SUM('FU Distribution'!AC102:$AC$109)</f>
        <v>0</v>
      </c>
      <c r="I40" s="96" t="e">
        <f>FORECAST((SUM(H40:H1035)),INDEX($B$3:$B$45,MATCH((SUM(H40:H1035)),$A$3:$A$45,1)):INDEX($B$3:$B$45,MATCH((SUM(H40:H1035)),$A$3:$A$45,1)+1),INDEX($A$3:$A$45,MATCH((SUM(H40:H1035)),$A$3:$A$45,1)):INDEX($A$3:$A$45,MATCH((SUM(H40:H1035)),$A$3:$A$45,1)+1))</f>
        <v>#N/A</v>
      </c>
      <c r="J40" s="97" t="e">
        <f t="shared" si="136"/>
        <v>#N/A</v>
      </c>
      <c r="K40" s="75">
        <f>SUM('FU Distribution'!AE102:$AE$109)+IF('FU Distribution'!$D$112=2,'FU Distribution'!$D$114,0)</f>
        <v>0</v>
      </c>
      <c r="L40" s="96" t="e">
        <f>FORECAST((SUM(K40:K1035)),INDEX($B$3:$B$45,MATCH((SUM(K40:K1035)),$A$3:$A$45,1)):INDEX($B$3:$B$45,MATCH((SUM(K40:K1035)),$A$3:$A$45,1)+1),INDEX($A$3:$A$45,MATCH((SUM(K40:K1035)),$A$3:$A$45,1)):INDEX($A$3:$A$45,MATCH((SUM(K40:K1035)),$A$3:$A$45,1)+1))</f>
        <v>#N/A</v>
      </c>
      <c r="M40" s="97" t="e">
        <f t="shared" si="137"/>
        <v>#N/A</v>
      </c>
      <c r="N40" s="75">
        <f>SUM('FU Distribution'!AF102:$AF$109)</f>
        <v>0</v>
      </c>
      <c r="O40" s="96" t="e">
        <f>FORECAST((SUM(N40:N1035)),INDEX($B$3:$B$45,MATCH((SUM(N40:N1035)),$A$3:$A$45,1)):INDEX($B$3:$B$45,MATCH((SUM(N40:N1035)),$A$3:$A$45,1)+1),INDEX($A$3:$A$45,MATCH((SUM(N40:N1035)),$A$3:$A$45,1)):INDEX($A$3:$A$45,MATCH((SUM(N40:N1035)),$A$3:$A$45,1)+1))</f>
        <v>#N/A</v>
      </c>
      <c r="P40" s="97" t="e">
        <f t="shared" si="138"/>
        <v>#N/A</v>
      </c>
      <c r="Q40" s="61">
        <f>SUM('FU Distribution'!AH102:$AH$109)+IF('FU Distribution'!$D$112=3,'FU Distribution'!$D$114,0)</f>
        <v>0</v>
      </c>
      <c r="R40" s="96" t="e">
        <f>FORECAST((SUM(Q40:Q1035)),INDEX($B$3:$B$45,MATCH((SUM(Q40:Q1035)),$A$3:$A$45,1)):INDEX($B$3:$B$45,MATCH((SUM(Q40:Q1035)),$A$3:$A$45,1)+1),INDEX($A$3:$A$45,MATCH((SUM(Q40:Q1035)),$A$3:$A$45,1)):INDEX($A$3:$A$45,MATCH((SUM(Q40:Q1035)),$A$3:$A$45,1)+1))</f>
        <v>#N/A</v>
      </c>
      <c r="S40" s="97" t="e">
        <f t="shared" si="139"/>
        <v>#N/A</v>
      </c>
      <c r="T40" s="61">
        <f>SUM('FU Distribution'!AI102:$AI$109)</f>
        <v>0</v>
      </c>
      <c r="U40" s="96" t="e">
        <f>FORECAST((SUM(T40:T1035)),INDEX($B$3:$B$45,MATCH((SUM(T40:T1035)),$A$3:$A$45,1)):INDEX($B$3:$B$45,MATCH((SUM(T40:T1035)),$A$3:$A$45,1)+1),INDEX($A$3:$A$45,MATCH((SUM(T40:T1035)),$A$3:$A$45,1)):INDEX($A$3:$A$45,MATCH((SUM(T40:T1035)),$A$3:$A$45,1)+1))</f>
        <v>#N/A</v>
      </c>
      <c r="V40" s="97" t="e">
        <f t="shared" si="0"/>
        <v>#N/A</v>
      </c>
      <c r="W40" s="75">
        <f>SUM('FU Distribution'!AK102:$AK$109)+IF('FU Distribution'!$D$112=4,'FU Distribution'!$D$114,0)</f>
        <v>0</v>
      </c>
      <c r="X40" s="96" t="e">
        <f>FORECAST((SUM(W40:W1035)),INDEX($B$3:$B$45,MATCH((SUM(W40:W1035)),$A$3:$A$45,1)):INDEX($B$3:$B$45,MATCH((SUM(W40:W1035)),$A$3:$A$45,1)+1),INDEX($A$3:$A$45,MATCH((SUM(W40:W1035)),$A$3:$A$45,1)):INDEX($A$3:$A$45,MATCH((SUM(W40:W1035)),$A$3:$A$45,1)+1))</f>
        <v>#N/A</v>
      </c>
      <c r="Y40" s="97" t="e">
        <f t="shared" si="1"/>
        <v>#N/A</v>
      </c>
      <c r="Z40" s="75">
        <f>SUM('FU Distribution'!AL102:$AL$109)</f>
        <v>0</v>
      </c>
      <c r="AA40" s="96" t="e">
        <f>FORECAST((SUM(Z40:Z1035)),INDEX($B$3:$B$45,MATCH((SUM(Z40:Z1035)),$A$3:$A$45,1)):INDEX($B$3:$B$45,MATCH((SUM(Z40:Z1035)),$A$3:$A$45,1)+1),INDEX($A$3:$A$45,MATCH((SUM(Z40:Z1035)),$A$3:$A$45,1)):INDEX($A$3:$A$45,MATCH((SUM(Z40:Z1035)),$A$3:$A$45,1)+1))</f>
        <v>#N/A</v>
      </c>
      <c r="AB40" s="97" t="e">
        <f t="shared" si="140"/>
        <v>#N/A</v>
      </c>
      <c r="AC40" s="61">
        <f>SUM('FU Distribution'!AN102:$AN$109)+IF('FU Distribution'!$D$112=5,'FU Distribution'!$D$114,0)</f>
        <v>0</v>
      </c>
      <c r="AD40" s="96" t="e">
        <f>FORECAST((SUM(AC40:AC1035)),INDEX($B$3:$B$45,MATCH((SUM(AC40:AC1035)),$A$3:$A$45,1)):INDEX($B$3:$B$45,MATCH((SUM(AC40:AC1035)),$A$3:$A$45,1)+1),INDEX($A$3:$A$45,MATCH((SUM(AC40:AC1035)),$A$3:$A$45,1)):INDEX($A$3:$A$45,MATCH((SUM(AC40:AC1035)),$A$3:$A$45,1)+1))</f>
        <v>#N/A</v>
      </c>
      <c r="AE40" s="97" t="e">
        <f t="shared" si="141"/>
        <v>#N/A</v>
      </c>
      <c r="AF40" s="61">
        <f>SUM('FU Distribution'!AO102:$AO$109)</f>
        <v>0</v>
      </c>
      <c r="AG40" s="96" t="e">
        <f>FORECAST((SUM(AF40:AF1035)),INDEX($B$3:$B$45,MATCH((SUM(AF40:AF1035)),$A$3:$A$45,1)):INDEX($B$3:$B$45,MATCH((SUM(AF40:AF1035)),$A$3:$A$45,1)+1),INDEX($A$3:$A$45,MATCH((SUM(AF40:AF1035)),$A$3:$A$45,1)):INDEX($A$3:$A$45,MATCH((SUM(AF40:AF1035)),$A$3:$A$45,1)+1))</f>
        <v>#N/A</v>
      </c>
      <c r="AH40" s="97" t="e">
        <f t="shared" si="142"/>
        <v>#N/A</v>
      </c>
      <c r="AI40" s="75">
        <f>SUM('FU Distribution'!AQ102:$AQ$109)+IF('FU Distribution'!$D$112=6,'FU Distribution'!$D$114,0)</f>
        <v>0</v>
      </c>
      <c r="AJ40" s="96" t="e">
        <f>FORECAST((SUM(AI40:AI1035)),INDEX($B$3:$B$45,MATCH((SUM(AI40:AI1035)),$A$3:$A$45,1)):INDEX($B$3:$B$45,MATCH((SUM(AI40:AI1035)),$A$3:$A$45,1)+1),INDEX($A$3:$A$45,MATCH((SUM(AI40:AI1035)),$A$3:$A$45,1)):INDEX($A$3:$A$45,MATCH((SUM(AI40:AI1035)),$A$3:$A$45,1)+1))</f>
        <v>#N/A</v>
      </c>
      <c r="AK40" s="97" t="e">
        <f t="shared" si="143"/>
        <v>#N/A</v>
      </c>
      <c r="AL40" s="75">
        <f>SUM('FU Distribution'!AR102:$AR$109)</f>
        <v>0</v>
      </c>
      <c r="AM40" s="96" t="e">
        <f>FORECAST((SUM(AL40:AL1035)),INDEX($B$3:$B$45,MATCH((SUM(AL40:AL1035)),$A$3:$A$45,1)):INDEX($B$3:$B$45,MATCH((SUM(AL40:AL1035)),$A$3:$A$45,1)+1),INDEX($A$3:$A$45,MATCH((SUM(AL40:AL1035)),$A$3:$A$45,1)):INDEX($A$3:$A$45,MATCH((SUM(AL40:AL1035)),$A$3:$A$45,1)+1))</f>
        <v>#N/A</v>
      </c>
      <c r="AN40" s="97" t="e">
        <f t="shared" si="144"/>
        <v>#N/A</v>
      </c>
      <c r="AO40" s="61">
        <f>SUM('FU Distribution'!AT102:$AT$109)+IF('FU Distribution'!$D$112=7,'FU Distribution'!$D$114,0)</f>
        <v>0</v>
      </c>
      <c r="AP40" s="96" t="e">
        <f>FORECAST((SUM(AO40:AO1035)),INDEX($B$3:$B$45,MATCH((SUM(AO40:AO1035)),$A$3:$A$45,1)):INDEX($B$3:$B$45,MATCH((SUM(AO40:AO1035)),$A$3:$A$45,1)+1),INDEX($A$3:$A$45,MATCH((SUM(AO40:AO1035)),$A$3:$A$45,1)):INDEX($A$3:$A$45,MATCH((SUM(AO40:AO1035)),$A$3:$A$45,1)+1))</f>
        <v>#N/A</v>
      </c>
      <c r="AQ40" s="97" t="e">
        <f t="shared" si="145"/>
        <v>#N/A</v>
      </c>
      <c r="AR40" s="61">
        <f>SUM('FU Distribution'!AU102:$AU$109)</f>
        <v>0</v>
      </c>
      <c r="AS40" s="96" t="e">
        <f>FORECAST((SUM(AR40:AR1035)),INDEX($B$3:$B$45,MATCH((SUM(AR40:AR1035)),$A$3:$A$45,1)):INDEX($B$3:$B$45,MATCH((SUM(AR40:AR1035)),$A$3:$A$45,1)+1),INDEX($A$3:$A$45,MATCH((SUM(AR40:AR1035)),$A$3:$A$45,1)):INDEX($A$3:$A$45,MATCH((SUM(AR40:AR1035)),$A$3:$A$45,1)+1))</f>
        <v>#N/A</v>
      </c>
      <c r="AT40" s="97" t="e">
        <f t="shared" si="146"/>
        <v>#N/A</v>
      </c>
      <c r="AU40" s="61">
        <f>SUM('FU Distribution'!AW102:$AW$109)+IF('FU Distribution'!$D$112=8,'FU Distribution'!$D$114,0)</f>
        <v>0</v>
      </c>
      <c r="AV40" s="98" t="e">
        <f>FORECAST(AU40,INDEX($B$3:$B$45,MATCH(AU40,$A$3:$A$45,1)):INDEX($B$3:$B$45,MATCH(AU40,$A$3:$A$45,1)+1),INDEX($A$3:$A$45,MATCH(AU40,$A$3:$A$45,1)):INDEX($A$3:$A$45,MATCH(AU40,$A$3:$A$45,1)+1))</f>
        <v>#N/A</v>
      </c>
      <c r="AW40" s="97" t="e">
        <f t="shared" si="147"/>
        <v>#N/A</v>
      </c>
      <c r="AX40" s="61">
        <f>SUM('FU Distribution'!AX102:$AX$109)</f>
        <v>0</v>
      </c>
      <c r="AY40" s="98" t="e">
        <f>FORECAST(AX40,INDEX($B$3:$B$45,MATCH(AX40,$A$3:$A$45,1)):INDEX($B$3:$B$45,MATCH(AX40,$A$3:$A$45,1)+1),INDEX($A$3:$A$45,MATCH(AX40,$A$3:$A$45,1)):INDEX($A$3:$A$45,MATCH(AX40,$A$3:$A$45,1)+1))</f>
        <v>#N/A</v>
      </c>
      <c r="AZ40" s="97" t="e">
        <f t="shared" si="148"/>
        <v>#N/A</v>
      </c>
      <c r="BA40" s="75">
        <f>SUM('FU Distribution'!AZ102:$AZ$109)+IF('FU Distribution'!$D$112=9,'FU Distribution'!$D$114,0)</f>
        <v>0</v>
      </c>
      <c r="BB40" s="76" t="e">
        <f>FORECAST((SUM(BA40:BA1035)),INDEX($B$3:$B$45,MATCH((SUM(BA40:BA1035)),$A$3:$A$45,1)):INDEX($B$3:$B$45,MATCH((SUM(BA40:BA1035)),$A$3:$A$45,1)+1),INDEX($A$3:$A$45,MATCH((SUM(BA40:BA1035)),$A$3:$A$45,1)):INDEX($A$3:$A$45,MATCH((SUM(BA40:BA1035)),$A$3:$A$45,1)+1))</f>
        <v>#N/A</v>
      </c>
      <c r="BC40" s="77" t="e">
        <f t="shared" si="3"/>
        <v>#N/A</v>
      </c>
      <c r="BD40" s="75">
        <f>SUM('FU Distribution'!BA102:$BA$109)</f>
        <v>0</v>
      </c>
      <c r="BE40" s="76" t="e">
        <f>FORECAST((SUM(BD40:BD1035)),INDEX($B$3:$B$45,MATCH((SUM(BD40:BD1035)),$A$3:$A$45,1)):INDEX($B$3:$B$45,MATCH((SUM(BD40:BD1035)),$A$3:$A$45,1)+1),INDEX($A$3:$A$45,MATCH((SUM(BD40:BD1035)),$A$3:$A$45,1)):INDEX($A$3:$A$45,MATCH((SUM(BD40:BD1035)),$A$3:$A$45,1)+1))</f>
        <v>#N/A</v>
      </c>
      <c r="BF40" s="77" t="e">
        <f t="shared" si="4"/>
        <v>#N/A</v>
      </c>
      <c r="BG40" s="61">
        <f>SUM('FU Distribution'!BC102:$BC$109)+IF('FU Distribution'!$D$112=10,'FU Distribution'!$D$114,0)</f>
        <v>0</v>
      </c>
      <c r="BH40" s="62" t="e">
        <f>FORECAST((SUM(BG40:BG1035)),INDEX($B$3:$B$45,MATCH((SUM(BG40:BG1035)),$A$3:$A$45,1)):INDEX($B$3:$B$45,MATCH((SUM(BG40:BG1035)),$A$3:$A$45,1)+1),INDEX($A$3:$A$45,MATCH((SUM(BG40:BG1035)),$A$3:$A$45,1)):INDEX($A$3:$A$45,MATCH((SUM(BG40:BG1035)),$A$3:$A$45,1)+1))</f>
        <v>#N/A</v>
      </c>
      <c r="BI40" s="74" t="e">
        <f t="shared" si="5"/>
        <v>#N/A</v>
      </c>
      <c r="BJ40" s="61">
        <f>SUM('FU Distribution'!BD102:$BD$109)</f>
        <v>0</v>
      </c>
      <c r="BK40" s="62" t="e">
        <f>FORECAST((SUM(BJ40:BJ1035)),INDEX($B$3:$B$45,MATCH((SUM(BJ40:BJ1035)),$A$3:$A$45,1)):INDEX($B$3:$B$45,MATCH((SUM(BJ40:BJ1035)),$A$3:$A$45,1)+1),INDEX($A$3:$A$45,MATCH((SUM(BJ40:BJ1035)),$A$3:$A$45,1)):INDEX($A$3:$A$45,MATCH((SUM(BJ40:BJ1035)),$A$3:$A$45,1)+1))</f>
        <v>#N/A</v>
      </c>
      <c r="BL40" s="74" t="e">
        <f t="shared" si="6"/>
        <v>#N/A</v>
      </c>
      <c r="BM40" s="75">
        <f>SUM('FU Distribution'!BF102:$BF$109)+IF('FU Distribution'!$D$112=11,'FU Distribution'!$D$114,0)</f>
        <v>0</v>
      </c>
      <c r="BN40" s="76" t="e">
        <f>FORECAST((SUM(BM40:BM1035)),INDEX($B$3:$B$45,MATCH((SUM(BM40:BM1035)),$A$3:$A$45,1)):INDEX($B$3:$B$45,MATCH((SUM(BM40:BM1035)),$A$3:$A$45,1)+1),INDEX($A$3:$A$45,MATCH((SUM(BM40:BM1035)),$A$3:$A$45,1)):INDEX($A$3:$A$45,MATCH((SUM(BM40:BM1035)),$A$3:$A$45,1)+1))</f>
        <v>#N/A</v>
      </c>
      <c r="BO40" s="77" t="e">
        <f t="shared" si="7"/>
        <v>#N/A</v>
      </c>
      <c r="BP40" s="75">
        <f>SUM('FU Distribution'!BG102:$BG$109)</f>
        <v>0</v>
      </c>
      <c r="BQ40" s="76" t="e">
        <f>FORECAST((SUM(BP40:BP1035)),INDEX($B$3:$B$45,MATCH((SUM(BP40:BP1035)),$A$3:$A$45,1)):INDEX($B$3:$B$45,MATCH((SUM(BP40:BP1035)),$A$3:$A$45,1)+1),INDEX($A$3:$A$45,MATCH((SUM(BP40:BP1035)),$A$3:$A$45,1)):INDEX($A$3:$A$45,MATCH((SUM(BP40:BP1035)),$A$3:$A$45,1)+1))</f>
        <v>#N/A</v>
      </c>
      <c r="BR40" s="77" t="e">
        <f t="shared" si="8"/>
        <v>#N/A</v>
      </c>
      <c r="BS40" s="61">
        <f>SUM('FU Distribution'!BI102:$BI$109)+IF('FU Distribution'!$D$112=12,'FU Distribution'!$D$114,0)</f>
        <v>0</v>
      </c>
      <c r="BT40" s="62" t="e">
        <f>FORECAST(BS40,INDEX($B$3:$B$45,MATCH(BS40,$A$3:$A$45,1)):INDEX($B$3:$B$45,MATCH(BS40,$A$3:$A$45,1)+1),INDEX($A$3:$A$45,MATCH(BS40,$A$3:$A$45,1)):INDEX($A$3:$A$45,MATCH(BS40,$A$3:$A$45,1)+1))</f>
        <v>#N/A</v>
      </c>
      <c r="BU40" s="74" t="e">
        <f t="shared" si="9"/>
        <v>#N/A</v>
      </c>
      <c r="BV40" s="61">
        <f>SUM('FU Distribution'!BJ102:$BJ$109)</f>
        <v>0</v>
      </c>
      <c r="BW40" s="62" t="e">
        <f>FORECAST(BV40,INDEX($B$3:$B$45,MATCH(BV40,$A$3:$A$45,1)):INDEX($B$3:$B$45,MATCH(BV40,$A$3:$A$45,1)+1),INDEX($A$3:$A$45,MATCH(BV40,$A$3:$A$45,1)):INDEX($A$3:$A$45,MATCH(BV40,$A$3:$A$45,1)+1))</f>
        <v>#N/A</v>
      </c>
      <c r="BX40" s="74" t="e">
        <f t="shared" si="10"/>
        <v>#N/A</v>
      </c>
      <c r="BY40" s="75">
        <f>SUM('FU Distribution'!BL102:$BL$109)+IF('FU Distribution'!$D$112=13,'FU Distribution'!$D$114,0)</f>
        <v>0</v>
      </c>
      <c r="BZ40" s="76" t="e">
        <f>FORECAST(BY40,INDEX($B$3:$B$45,MATCH(BY40,$A$3:$A$45,1)):INDEX($B$3:$B$45,MATCH(BY40,$A$3:$A$45,1)+1),INDEX($A$3:$A$45,MATCH(BY40,$A$3:$A$45,1)):INDEX($A$3:$A$45,MATCH(BY40,$A$3:$A$45,1)+1))</f>
        <v>#N/A</v>
      </c>
      <c r="CA40" s="77" t="e">
        <f t="shared" si="11"/>
        <v>#N/A</v>
      </c>
      <c r="CB40" s="75">
        <f>SUM('FU Distribution'!BM102:$BM$109)</f>
        <v>0</v>
      </c>
      <c r="CC40" s="76" t="e">
        <f>FORECAST(CB40,INDEX($B$3:$B$45,MATCH(CB40,$A$3:$A$45,1)):INDEX($B$3:$B$45,MATCH(CB40,$A$3:$A$45,1)+1),INDEX($A$3:$A$45,MATCH(CB40,$A$3:$A$45,1)):INDEX($A$3:$A$45,MATCH(CB40,$A$3:$A$45,1)+1))</f>
        <v>#N/A</v>
      </c>
      <c r="CD40" s="77" t="e">
        <f t="shared" si="12"/>
        <v>#N/A</v>
      </c>
      <c r="CE40" s="61">
        <f>SUM('FU Distribution'!BO102:$BO$109)+IF('FU Distribution'!$D$112=13,'FU Distribution'!$D$114,0)</f>
        <v>0</v>
      </c>
      <c r="CF40" s="62" t="e">
        <f>FORECAST(CE40,INDEX($B$3:$B$45,MATCH(CE40,$A$3:$A$45,1)):INDEX($B$3:$B$45,MATCH(CE40,$A$3:$A$45,1)+1),INDEX($A$3:$A$45,MATCH(CE40,$A$3:$A$45,1)):INDEX($A$3:$A$45,MATCH(CE40,$A$3:$A$45,1)+1))</f>
        <v>#N/A</v>
      </c>
      <c r="CG40" s="74" t="e">
        <f t="shared" si="13"/>
        <v>#N/A</v>
      </c>
      <c r="CH40" s="61">
        <f>SUM('FU Distribution'!BP102:$BP$109)</f>
        <v>0</v>
      </c>
      <c r="CI40" s="62" t="e">
        <f>FORECAST(CH40,INDEX($B$3:$B$45,MATCH(CH40,$A$3:$A$45,1)):INDEX($B$3:$B$45,MATCH(CH40,$A$3:$A$45,1)+1),INDEX($A$3:$A$45,MATCH(CH40,$A$3:$A$45,1)):INDEX($A$3:$A$45,MATCH(CH40,$A$3:$A$45,1)+1))</f>
        <v>#N/A</v>
      </c>
      <c r="CJ40" s="74" t="e">
        <f t="shared" si="14"/>
        <v>#N/A</v>
      </c>
    </row>
    <row r="41" spans="1:88" x14ac:dyDescent="0.25">
      <c r="A41" s="2">
        <v>2000</v>
      </c>
      <c r="B41" s="2">
        <v>330</v>
      </c>
      <c r="C41" s="63"/>
      <c r="D41" s="52">
        <v>37</v>
      </c>
      <c r="E41" s="61">
        <f>SUM('FU Distribution'!AB103:$AB$109)+IF('FU Distribution'!$D$112=1,'FU Distribution'!$D$114,0)</f>
        <v>0</v>
      </c>
      <c r="F41" s="98" t="e">
        <f>FORECAST((SUM(E41:E1035)),INDEX($B$3:$B$45,MATCH((SUM(E41:E1035)),$A$3:$A$45,1)):INDEX($B$3:$B$45,MATCH((SUM(E41:E1035)),$A$3:$A$45,1)+1),INDEX($A$3:$A$45,MATCH((SUM(E41:E1035)),$A$3:$A$45,1)):INDEX($A$3:$A$45,MATCH((SUM(E41:E1035)),$A$3:$A$45,1)+1))</f>
        <v>#N/A</v>
      </c>
      <c r="G41" s="99" t="e">
        <f t="shared" si="135"/>
        <v>#N/A</v>
      </c>
      <c r="H41" s="61">
        <f>SUM('FU Distribution'!AC103:$AC$109)</f>
        <v>0</v>
      </c>
      <c r="I41" s="98" t="e">
        <f>FORECAST((SUM(H41:H1036)),INDEX($B$3:$B$45,MATCH((SUM(H41:H1036)),$A$3:$A$45,1)):INDEX($B$3:$B$45,MATCH((SUM(H41:H1036)),$A$3:$A$45,1)+1),INDEX($A$3:$A$45,MATCH((SUM(H41:H1036)),$A$3:$A$45,1)):INDEX($A$3:$A$45,MATCH((SUM(H41:H1036)),$A$3:$A$45,1)+1))</f>
        <v>#N/A</v>
      </c>
      <c r="J41" s="99" t="e">
        <f t="shared" si="136"/>
        <v>#N/A</v>
      </c>
      <c r="K41" s="75">
        <f>SUM('FU Distribution'!AE103:$AE$109)+IF('FU Distribution'!$D$112=2,'FU Distribution'!$D$114,0)</f>
        <v>0</v>
      </c>
      <c r="L41" s="100" t="e">
        <f>FORECAST((SUM(K41:K1036)),INDEX($B$3:$B$45,MATCH((SUM(K41:K1036)),$A$3:$A$45,1)):INDEX($B$3:$B$45,MATCH((SUM(K41:K1036)),$A$3:$A$45,1)+1),INDEX($A$3:$A$45,MATCH((SUM(K41:K1036)),$A$3:$A$45,1)):INDEX($A$3:$A$45,MATCH((SUM(K41:K1036)),$A$3:$A$45,1)+1))</f>
        <v>#N/A</v>
      </c>
      <c r="M41" s="101" t="e">
        <f>IF(AND(L41&lt;=750,L41&gt;250),6,IF(AND(L41&lt;=250,L41&gt;120),4,IF(AND(L41&lt;=120,L41&gt;75),3,IF(AND(L41&lt;=75,L41&gt;40),2.5,IF(AND(L41&lt;=40,L41&gt;20),2,IF(AND(L41&lt;=20,L41&gt;14),1.5,IF(AND(L41&lt;=14,L41&gt;7),1.25,IF(AND(L41&lt;=7,L41&gt;3.5),1,IF(AND(L41&lt;=3.5,L41&gt;1.7),0.75,IF(AND(L41&lt;=1.7,L41&gt;0),0.5))))))))))</f>
        <v>#N/A</v>
      </c>
      <c r="N41" s="75">
        <f>SUM('FU Distribution'!AF103:$AF$109)</f>
        <v>0</v>
      </c>
      <c r="O41" s="100" t="e">
        <f>FORECAST((SUM(N41:N1036)),INDEX($B$3:$B$45,MATCH((SUM(N41:N1036)),$A$3:$A$45,1)):INDEX($B$3:$B$45,MATCH((SUM(N41:N1036)),$A$3:$A$45,1)+1),INDEX($A$3:$A$45,MATCH((SUM(N41:N1036)),$A$3:$A$45,1)):INDEX($A$3:$A$45,MATCH((SUM(N41:N1036)),$A$3:$A$45,1)+1))</f>
        <v>#N/A</v>
      </c>
      <c r="P41" s="101" t="e">
        <f t="shared" si="138"/>
        <v>#N/A</v>
      </c>
      <c r="Q41" s="61">
        <f>SUM('FU Distribution'!AH103:$AH$109)+IF('FU Distribution'!$D$112=3,'FU Distribution'!$D$114,0)</f>
        <v>0</v>
      </c>
      <c r="R41" s="98" t="e">
        <f>FORECAST((SUM(Q41:Q1036)),INDEX($B$3:$B$45,MATCH((SUM(Q41:Q1036)),$A$3:$A$45,1)):INDEX($B$3:$B$45,MATCH((SUM(Q41:Q1036)),$A$3:$A$45,1)+1),INDEX($A$3:$A$45,MATCH((SUM(Q41:Q1036)),$A$3:$A$45,1)):INDEX($A$3:$A$45,MATCH((SUM(Q41:Q1036)),$A$3:$A$45,1)+1))</f>
        <v>#N/A</v>
      </c>
      <c r="S41" s="99" t="e">
        <f t="shared" si="139"/>
        <v>#N/A</v>
      </c>
      <c r="T41" s="61">
        <f>SUM('FU Distribution'!AI103:$AI$109)</f>
        <v>0</v>
      </c>
      <c r="U41" s="98" t="e">
        <f>FORECAST((SUM(T41:T1036)),INDEX($B$3:$B$45,MATCH((SUM(T41:T1036)),$A$3:$A$45,1)):INDEX($B$3:$B$45,MATCH((SUM(T41:T1036)),$A$3:$A$45,1)+1),INDEX($A$3:$A$45,MATCH((SUM(T41:T1036)),$A$3:$A$45,1)):INDEX($A$3:$A$45,MATCH((SUM(T41:T1036)),$A$3:$A$45,1)+1))</f>
        <v>#N/A</v>
      </c>
      <c r="V41" s="99" t="e">
        <f t="shared" si="0"/>
        <v>#N/A</v>
      </c>
      <c r="W41" s="75">
        <f>SUM('FU Distribution'!AK103:$AK$109)+IF('FU Distribution'!$D$112=4,'FU Distribution'!$D$114,0)</f>
        <v>0</v>
      </c>
      <c r="X41" s="100" t="e">
        <f>FORECAST((SUM(W41:W1036)),INDEX($B$3:$B$45,MATCH((SUM(W41:W1036)),$A$3:$A$45,1)):INDEX($B$3:$B$45,MATCH((SUM(W41:W1036)),$A$3:$A$45,1)+1),INDEX($A$3:$A$45,MATCH((SUM(W41:W1036)),$A$3:$A$45,1)):INDEX($A$3:$A$45,MATCH((SUM(W41:W1036)),$A$3:$A$45,1)+1))</f>
        <v>#N/A</v>
      </c>
      <c r="Y41" s="101" t="e">
        <f t="shared" si="1"/>
        <v>#N/A</v>
      </c>
      <c r="Z41" s="75">
        <f>SUM('FU Distribution'!AL103:$AL$109)</f>
        <v>0</v>
      </c>
      <c r="AA41" s="100" t="e">
        <f>FORECAST((SUM(Z41:Z1036)),INDEX($B$3:$B$45,MATCH((SUM(Z41:Z1036)),$A$3:$A$45,1)):INDEX($B$3:$B$45,MATCH((SUM(Z41:Z1036)),$A$3:$A$45,1)+1),INDEX($A$3:$A$45,MATCH((SUM(Z41:Z1036)),$A$3:$A$45,1)):INDEX($A$3:$A$45,MATCH((SUM(Z41:Z1036)),$A$3:$A$45,1)+1))</f>
        <v>#N/A</v>
      </c>
      <c r="AB41" s="101" t="e">
        <f t="shared" si="140"/>
        <v>#N/A</v>
      </c>
      <c r="AC41" s="61">
        <f>SUM('FU Distribution'!AN103:$AN$109)+IF('FU Distribution'!$D$112=5,'FU Distribution'!$D$114,0)</f>
        <v>0</v>
      </c>
      <c r="AD41" s="98" t="e">
        <f>FORECAST((SUM(AC41:AC1036)),INDEX($B$3:$B$45,MATCH((SUM(AC41:AC1036)),$A$3:$A$45,1)):INDEX($B$3:$B$45,MATCH((SUM(AC41:AC1036)),$A$3:$A$45,1)+1),INDEX($A$3:$A$45,MATCH((SUM(AC41:AC1036)),$A$3:$A$45,1)):INDEX($A$3:$A$45,MATCH((SUM(AC41:AC1036)),$A$3:$A$45,1)+1))</f>
        <v>#N/A</v>
      </c>
      <c r="AE41" s="99" t="e">
        <f t="shared" si="141"/>
        <v>#N/A</v>
      </c>
      <c r="AF41" s="61">
        <f>SUM('FU Distribution'!AO103:$AO$109)</f>
        <v>0</v>
      </c>
      <c r="AG41" s="98" t="e">
        <f>FORECAST((SUM(AF41:AF1036)),INDEX($B$3:$B$45,MATCH((SUM(AF41:AF1036)),$A$3:$A$45,1)):INDEX($B$3:$B$45,MATCH((SUM(AF41:AF1036)),$A$3:$A$45,1)+1),INDEX($A$3:$A$45,MATCH((SUM(AF41:AF1036)),$A$3:$A$45,1)):INDEX($A$3:$A$45,MATCH((SUM(AF41:AF1036)),$A$3:$A$45,1)+1))</f>
        <v>#N/A</v>
      </c>
      <c r="AH41" s="99" t="e">
        <f t="shared" si="142"/>
        <v>#N/A</v>
      </c>
      <c r="AI41" s="75">
        <f>SUM('FU Distribution'!AQ103:$AQ$109)+IF('FU Distribution'!$D$112=6,'FU Distribution'!$D$114,0)</f>
        <v>0</v>
      </c>
      <c r="AJ41" s="100" t="e">
        <f>FORECAST((SUM(AI41:AI1036)),INDEX($B$3:$B$45,MATCH((SUM(AI41:AI1036)),$A$3:$A$45,1)):INDEX($B$3:$B$45,MATCH((SUM(AI41:AI1036)),$A$3:$A$45,1)+1),INDEX($A$3:$A$45,MATCH((SUM(AI41:AI1036)),$A$3:$A$45,1)):INDEX($A$3:$A$45,MATCH((SUM(AI41:AI1036)),$A$3:$A$45,1)+1))</f>
        <v>#N/A</v>
      </c>
      <c r="AK41" s="101" t="e">
        <f t="shared" si="143"/>
        <v>#N/A</v>
      </c>
      <c r="AL41" s="75">
        <f>SUM('FU Distribution'!AR103:$AR$109)</f>
        <v>0</v>
      </c>
      <c r="AM41" s="100" t="e">
        <f>FORECAST((SUM(AL41:AL1036)),INDEX($B$3:$B$45,MATCH((SUM(AL41:AL1036)),$A$3:$A$45,1)):INDEX($B$3:$B$45,MATCH((SUM(AL41:AL1036)),$A$3:$A$45,1)+1),INDEX($A$3:$A$45,MATCH((SUM(AL41:AL1036)),$A$3:$A$45,1)):INDEX($A$3:$A$45,MATCH((SUM(AL41:AL1036)),$A$3:$A$45,1)+1))</f>
        <v>#N/A</v>
      </c>
      <c r="AN41" s="101" t="e">
        <f t="shared" si="144"/>
        <v>#N/A</v>
      </c>
      <c r="AO41" s="61">
        <f>SUM('FU Distribution'!AT103:$AT$109)+IF('FU Distribution'!$D$112=7,'FU Distribution'!$D$114,0)</f>
        <v>0</v>
      </c>
      <c r="AP41" s="98" t="e">
        <f>FORECAST((SUM(AO41:AO1036)),INDEX($B$3:$B$45,MATCH((SUM(AO41:AO1036)),$A$3:$A$45,1)):INDEX($B$3:$B$45,MATCH((SUM(AO41:AO1036)),$A$3:$A$45,1)+1),INDEX($A$3:$A$45,MATCH((SUM(AO41:AO1036)),$A$3:$A$45,1)):INDEX($A$3:$A$45,MATCH((SUM(AO41:AO1036)),$A$3:$A$45,1)+1))</f>
        <v>#N/A</v>
      </c>
      <c r="AQ41" s="99" t="e">
        <f t="shared" si="145"/>
        <v>#N/A</v>
      </c>
      <c r="AR41" s="61">
        <f>SUM('FU Distribution'!AU103:$AU$109)</f>
        <v>0</v>
      </c>
      <c r="AS41" s="98" t="e">
        <f>FORECAST((SUM(AR41:AR1036)),INDEX($B$3:$B$45,MATCH((SUM(AR41:AR1036)),$A$3:$A$45,1)):INDEX($B$3:$B$45,MATCH((SUM(AR41:AR1036)),$A$3:$A$45,1)+1),INDEX($A$3:$A$45,MATCH((SUM(AR41:AR1036)),$A$3:$A$45,1)):INDEX($A$3:$A$45,MATCH((SUM(AR41:AR1036)),$A$3:$A$45,1)+1))</f>
        <v>#N/A</v>
      </c>
      <c r="AT41" s="99" t="e">
        <f t="shared" si="146"/>
        <v>#N/A</v>
      </c>
      <c r="AU41" s="61">
        <f>SUM('FU Distribution'!AW103:$AW$109)+IF('FU Distribution'!$D$112=8,'FU Distribution'!$D$114,0)</f>
        <v>0</v>
      </c>
      <c r="AV41" s="98" t="e">
        <f>FORECAST(AU41,INDEX($B$3:$B$45,MATCH(AU41,$A$3:$A$45,1)):INDEX($B$3:$B$45,MATCH(AU41,$A$3:$A$45,1)+1),INDEX($A$3:$A$45,MATCH(AU41,$A$3:$A$45,1)):INDEX($A$3:$A$45,MATCH(AU41,$A$3:$A$45,1)+1))</f>
        <v>#N/A</v>
      </c>
      <c r="AW41" s="99" t="e">
        <f t="shared" si="147"/>
        <v>#N/A</v>
      </c>
      <c r="AX41" s="61">
        <f>SUM('FU Distribution'!AX103:$AX$109)</f>
        <v>0</v>
      </c>
      <c r="AY41" s="98" t="e">
        <f>FORECAST(AX41,INDEX($B$3:$B$45,MATCH(AX41,$A$3:$A$45,1)):INDEX($B$3:$B$45,MATCH(AX41,$A$3:$A$45,1)+1),INDEX($A$3:$A$45,MATCH(AX41,$A$3:$A$45,1)):INDEX($A$3:$A$45,MATCH(AX41,$A$3:$A$45,1)+1))</f>
        <v>#N/A</v>
      </c>
      <c r="AZ41" s="99" t="e">
        <f t="shared" si="148"/>
        <v>#N/A</v>
      </c>
      <c r="BA41" s="75">
        <f>SUM('FU Distribution'!AZ103:$AZ$109)+IF('FU Distribution'!$D$112=9,'FU Distribution'!$D$114,0)</f>
        <v>0</v>
      </c>
      <c r="BB41" s="76" t="e">
        <f>FORECAST((SUM(BA41:BA1036)),INDEX($B$3:$B$45,MATCH((SUM(BA41:BA1036)),$A$3:$A$45,1)):INDEX($B$3:$B$45,MATCH((SUM(BA41:BA1036)),$A$3:$A$45,1)+1),INDEX($A$3:$A$45,MATCH((SUM(BA41:BA1036)),$A$3:$A$45,1)):INDEX($A$3:$A$45,MATCH((SUM(BA41:BA1036)),$A$3:$A$45,1)+1))</f>
        <v>#N/A</v>
      </c>
      <c r="BC41" s="77" t="e">
        <f t="shared" si="3"/>
        <v>#N/A</v>
      </c>
      <c r="BD41" s="75">
        <f>SUM('FU Distribution'!BA103:$BA$109)</f>
        <v>0</v>
      </c>
      <c r="BE41" s="76" t="e">
        <f>FORECAST((SUM(BD41:BD1036)),INDEX($B$3:$B$45,MATCH((SUM(BD41:BD1036)),$A$3:$A$45,1)):INDEX($B$3:$B$45,MATCH((SUM(BD41:BD1036)),$A$3:$A$45,1)+1),INDEX($A$3:$A$45,MATCH((SUM(BD41:BD1036)),$A$3:$A$45,1)):INDEX($A$3:$A$45,MATCH((SUM(BD41:BD1036)),$A$3:$A$45,1)+1))</f>
        <v>#N/A</v>
      </c>
      <c r="BF41" s="77" t="e">
        <f t="shared" si="4"/>
        <v>#N/A</v>
      </c>
      <c r="BG41" s="61">
        <f>SUM('FU Distribution'!BC103:$BC$109)+IF('FU Distribution'!$D$112=10,'FU Distribution'!$D$114,0)</f>
        <v>0</v>
      </c>
      <c r="BH41" s="62" t="e">
        <f>FORECAST((SUM(BG41:BG1036)),INDEX($B$3:$B$45,MATCH((SUM(BG41:BG1036)),$A$3:$A$45,1)):INDEX($B$3:$B$45,MATCH((SUM(BG41:BG1036)),$A$3:$A$45,1)+1),INDEX($A$3:$A$45,MATCH((SUM(BG41:BG1036)),$A$3:$A$45,1)):INDEX($A$3:$A$45,MATCH((SUM(BG41:BG1036)),$A$3:$A$45,1)+1))</f>
        <v>#N/A</v>
      </c>
      <c r="BI41" s="74" t="e">
        <f t="shared" si="5"/>
        <v>#N/A</v>
      </c>
      <c r="BJ41" s="61">
        <f>SUM('FU Distribution'!BD103:$BD$109)</f>
        <v>0</v>
      </c>
      <c r="BK41" s="62" t="e">
        <f>FORECAST((SUM(BJ41:BJ1036)),INDEX($B$3:$B$45,MATCH((SUM(BJ41:BJ1036)),$A$3:$A$45,1)):INDEX($B$3:$B$45,MATCH((SUM(BJ41:BJ1036)),$A$3:$A$45,1)+1),INDEX($A$3:$A$45,MATCH((SUM(BJ41:BJ1036)),$A$3:$A$45,1)):INDEX($A$3:$A$45,MATCH((SUM(BJ41:BJ1036)),$A$3:$A$45,1)+1))</f>
        <v>#N/A</v>
      </c>
      <c r="BL41" s="74" t="e">
        <f t="shared" si="6"/>
        <v>#N/A</v>
      </c>
      <c r="BM41" s="75">
        <f>SUM('FU Distribution'!BF103:$BF$109)+IF('FU Distribution'!$D$112=11,'FU Distribution'!$D$114,0)</f>
        <v>0</v>
      </c>
      <c r="BN41" s="76" t="e">
        <f>FORECAST((SUM(BM41:BM1036)),INDEX($B$3:$B$45,MATCH((SUM(BM41:BM1036)),$A$3:$A$45,1)):INDEX($B$3:$B$45,MATCH((SUM(BM41:BM1036)),$A$3:$A$45,1)+1),INDEX($A$3:$A$45,MATCH((SUM(BM41:BM1036)),$A$3:$A$45,1)):INDEX($A$3:$A$45,MATCH((SUM(BM41:BM1036)),$A$3:$A$45,1)+1))</f>
        <v>#N/A</v>
      </c>
      <c r="BO41" s="77" t="e">
        <f t="shared" si="7"/>
        <v>#N/A</v>
      </c>
      <c r="BP41" s="75">
        <f>SUM('FU Distribution'!BG103:$BG$109)</f>
        <v>0</v>
      </c>
      <c r="BQ41" s="76" t="e">
        <f>FORECAST((SUM(BP41:BP1036)),INDEX($B$3:$B$45,MATCH((SUM(BP41:BP1036)),$A$3:$A$45,1)):INDEX($B$3:$B$45,MATCH((SUM(BP41:BP1036)),$A$3:$A$45,1)+1),INDEX($A$3:$A$45,MATCH((SUM(BP41:BP1036)),$A$3:$A$45,1)):INDEX($A$3:$A$45,MATCH((SUM(BP41:BP1036)),$A$3:$A$45,1)+1))</f>
        <v>#N/A</v>
      </c>
      <c r="BR41" s="77" t="e">
        <f t="shared" si="8"/>
        <v>#N/A</v>
      </c>
      <c r="BS41" s="61">
        <f>SUM('FU Distribution'!BI103:$BI$109)+IF('FU Distribution'!$D$112=12,'FU Distribution'!$D$114,0)</f>
        <v>0</v>
      </c>
      <c r="BT41" s="62" t="e">
        <f>FORECAST(BS41,INDEX($B$3:$B$45,MATCH(BS41,$A$3:$A$45,1)):INDEX($B$3:$B$45,MATCH(BS41,$A$3:$A$45,1)+1),INDEX($A$3:$A$45,MATCH(BS41,$A$3:$A$45,1)):INDEX($A$3:$A$45,MATCH(BS41,$A$3:$A$45,1)+1))</f>
        <v>#N/A</v>
      </c>
      <c r="BU41" s="74" t="e">
        <f t="shared" si="9"/>
        <v>#N/A</v>
      </c>
      <c r="BV41" s="61">
        <f>SUM('FU Distribution'!BJ103:$BJ$109)</f>
        <v>0</v>
      </c>
      <c r="BW41" s="62" t="e">
        <f>FORECAST(BV41,INDEX($B$3:$B$45,MATCH(BV41,$A$3:$A$45,1)):INDEX($B$3:$B$45,MATCH(BV41,$A$3:$A$45,1)+1),INDEX($A$3:$A$45,MATCH(BV41,$A$3:$A$45,1)):INDEX($A$3:$A$45,MATCH(BV41,$A$3:$A$45,1)+1))</f>
        <v>#N/A</v>
      </c>
      <c r="BX41" s="74" t="e">
        <f t="shared" si="10"/>
        <v>#N/A</v>
      </c>
      <c r="BY41" s="75">
        <f>SUM('FU Distribution'!BL103:$BL$109)+IF('FU Distribution'!$D$112=13,'FU Distribution'!$D$114,0)</f>
        <v>0</v>
      </c>
      <c r="BZ41" s="76" t="e">
        <f>FORECAST(BY41,INDEX($B$3:$B$45,MATCH(BY41,$A$3:$A$45,1)):INDEX($B$3:$B$45,MATCH(BY41,$A$3:$A$45,1)+1),INDEX($A$3:$A$45,MATCH(BY41,$A$3:$A$45,1)):INDEX($A$3:$A$45,MATCH(BY41,$A$3:$A$45,1)+1))</f>
        <v>#N/A</v>
      </c>
      <c r="CA41" s="77" t="e">
        <f t="shared" si="11"/>
        <v>#N/A</v>
      </c>
      <c r="CB41" s="75">
        <f>SUM('FU Distribution'!BM103:$BM$109)</f>
        <v>0</v>
      </c>
      <c r="CC41" s="76" t="e">
        <f>FORECAST(CB41,INDEX($B$3:$B$45,MATCH(CB41,$A$3:$A$45,1)):INDEX($B$3:$B$45,MATCH(CB41,$A$3:$A$45,1)+1),INDEX($A$3:$A$45,MATCH(CB41,$A$3:$A$45,1)):INDEX($A$3:$A$45,MATCH(CB41,$A$3:$A$45,1)+1))</f>
        <v>#N/A</v>
      </c>
      <c r="CD41" s="77" t="e">
        <f t="shared" si="12"/>
        <v>#N/A</v>
      </c>
      <c r="CE41" s="61">
        <f>SUM('FU Distribution'!BO103:$BO$109)+IF('FU Distribution'!$D$112=13,'FU Distribution'!$D$114,0)</f>
        <v>0</v>
      </c>
      <c r="CF41" s="62" t="e">
        <f>FORECAST(CE41,INDEX($B$3:$B$45,MATCH(CE41,$A$3:$A$45,1)):INDEX($B$3:$B$45,MATCH(CE41,$A$3:$A$45,1)+1),INDEX($A$3:$A$45,MATCH(CE41,$A$3:$A$45,1)):INDEX($A$3:$A$45,MATCH(CE41,$A$3:$A$45,1)+1))</f>
        <v>#N/A</v>
      </c>
      <c r="CG41" s="74" t="e">
        <f t="shared" si="13"/>
        <v>#N/A</v>
      </c>
      <c r="CH41" s="61">
        <f>SUM('FU Distribution'!BP103:$BP$109)</f>
        <v>0</v>
      </c>
      <c r="CI41" s="62" t="e">
        <f>FORECAST(CH41,INDEX($B$3:$B$45,MATCH(CH41,$A$3:$A$45,1)):INDEX($B$3:$B$45,MATCH(CH41,$A$3:$A$45,1)+1),INDEX($A$3:$A$45,MATCH(CH41,$A$3:$A$45,1)):INDEX($A$3:$A$45,MATCH(CH41,$A$3:$A$45,1)+1))</f>
        <v>#N/A</v>
      </c>
      <c r="CJ41" s="74" t="e">
        <f t="shared" si="14"/>
        <v>#N/A</v>
      </c>
    </row>
    <row r="42" spans="1:88" x14ac:dyDescent="0.25">
      <c r="A42" s="2">
        <v>2250</v>
      </c>
      <c r="B42" s="2">
        <v>350</v>
      </c>
      <c r="C42" s="63"/>
      <c r="D42" s="52">
        <v>38</v>
      </c>
      <c r="E42" s="61">
        <f>SUM('FU Distribution'!AB104:$AB$109)+IF('FU Distribution'!$D$112=1,'FU Distribution'!$D$114,0)</f>
        <v>0</v>
      </c>
      <c r="F42" s="96" t="e">
        <f>FORECAST((SUM(E42:E1037)),INDEX($B$3:$B$45,MATCH((SUM(E42:E1037)),$A$3:$A$45,1)):INDEX($B$3:$B$45,MATCH((SUM(E42:E1037)),$A$3:$A$45,1)+1),INDEX($A$3:$A$45,MATCH((SUM(E42:E1037)),$A$3:$A$45,1)):INDEX($A$3:$A$45,MATCH((SUM(E42:E1037)),$A$3:$A$45,1)+1))</f>
        <v>#N/A</v>
      </c>
      <c r="G42" s="97" t="e">
        <f t="shared" si="135"/>
        <v>#N/A</v>
      </c>
      <c r="H42" s="61">
        <f>SUM('FU Distribution'!AC104:$AC$109)</f>
        <v>0</v>
      </c>
      <c r="I42" s="96" t="e">
        <f>FORECAST((SUM(H42:H1037)),INDEX($B$3:$B$45,MATCH((SUM(H42:H1037)),$A$3:$A$45,1)):INDEX($B$3:$B$45,MATCH((SUM(H42:H1037)),$A$3:$A$45,1)+1),INDEX($A$3:$A$45,MATCH((SUM(H42:H1037)),$A$3:$A$45,1)):INDEX($A$3:$A$45,MATCH((SUM(H42:H1037)),$A$3:$A$45,1)+1))</f>
        <v>#N/A</v>
      </c>
      <c r="J42" s="97" t="e">
        <f t="shared" si="136"/>
        <v>#N/A</v>
      </c>
      <c r="K42" s="75">
        <f>SUM('FU Distribution'!AE104:$AE$109)+IF('FU Distribution'!$D$112=2,'FU Distribution'!$D$114,0)</f>
        <v>0</v>
      </c>
      <c r="L42" s="96" t="e">
        <f>FORECAST((SUM(K42:K1037)),INDEX($B$3:$B$45,MATCH((SUM(K42:K1037)),$A$3:$A$45,1)):INDEX($B$3:$B$45,MATCH((SUM(K42:K1037)),$A$3:$A$45,1)+1),INDEX($A$3:$A$45,MATCH((SUM(K42:K1037)),$A$3:$A$45,1)):INDEX($A$3:$A$45,MATCH((SUM(K42:K1037)),$A$3:$A$45,1)+1))</f>
        <v>#N/A</v>
      </c>
      <c r="M42" s="97" t="e">
        <f>IF(AND(L42&lt;=750,L42&gt;250),6,IF(AND(L42&lt;=250,L42&gt;120),4,IF(AND(L42&lt;=120,L42&gt;75),3,IF(AND(L42&lt;=75,L42&gt;40),2.5,IF(AND(L42&lt;=40,L42&gt;20),2,IF(AND(L42&lt;=20,L42&gt;14),1.5,IF(AND(L42&lt;=14,L42&gt;7),1.25,IF(AND(L42&lt;=7,L42&gt;3.5),1,IF(AND(L42&lt;=3.5,L42&gt;1.7),0.75,IF(AND(L42&lt;=1.7,L42&gt;0),0.5))))))))))</f>
        <v>#N/A</v>
      </c>
      <c r="N42" s="75">
        <f>SUM('FU Distribution'!AF104:$AF$109)</f>
        <v>0</v>
      </c>
      <c r="O42" s="96" t="e">
        <f>FORECAST((SUM(N42:N1037)),INDEX($B$3:$B$45,MATCH((SUM(N42:N1037)),$A$3:$A$45,1)):INDEX($B$3:$B$45,MATCH((SUM(N42:N1037)),$A$3:$A$45,1)+1),INDEX($A$3:$A$45,MATCH((SUM(N42:N1037)),$A$3:$A$45,1)):INDEX($A$3:$A$45,MATCH((SUM(N42:N1037)),$A$3:$A$45,1)+1))</f>
        <v>#N/A</v>
      </c>
      <c r="P42" s="97" t="e">
        <f t="shared" si="138"/>
        <v>#N/A</v>
      </c>
      <c r="Q42" s="61">
        <f>SUM('FU Distribution'!AH104:$AH$109)+IF('FU Distribution'!$D$112=3,'FU Distribution'!$D$114,0)</f>
        <v>0</v>
      </c>
      <c r="R42" s="96" t="e">
        <f>FORECAST((SUM(Q42:Q1037)),INDEX($B$3:$B$45,MATCH((SUM(Q42:Q1037)),$A$3:$A$45,1)):INDEX($B$3:$B$45,MATCH((SUM(Q42:Q1037)),$A$3:$A$45,1)+1),INDEX($A$3:$A$45,MATCH((SUM(Q42:Q1037)),$A$3:$A$45,1)):INDEX($A$3:$A$45,MATCH((SUM(Q42:Q1037)),$A$3:$A$45,1)+1))</f>
        <v>#N/A</v>
      </c>
      <c r="S42" s="97" t="e">
        <f t="shared" si="139"/>
        <v>#N/A</v>
      </c>
      <c r="T42" s="61">
        <f>SUM('FU Distribution'!AI104:$AI$109)</f>
        <v>0</v>
      </c>
      <c r="U42" s="96" t="e">
        <f>FORECAST((SUM(T42:T1037)),INDEX($B$3:$B$45,MATCH((SUM(T42:T1037)),$A$3:$A$45,1)):INDEX($B$3:$B$45,MATCH((SUM(T42:T1037)),$A$3:$A$45,1)+1),INDEX($A$3:$A$45,MATCH((SUM(T42:T1037)),$A$3:$A$45,1)):INDEX($A$3:$A$45,MATCH((SUM(T42:T1037)),$A$3:$A$45,1)+1))</f>
        <v>#N/A</v>
      </c>
      <c r="V42" s="97" t="e">
        <f t="shared" si="0"/>
        <v>#N/A</v>
      </c>
      <c r="W42" s="75">
        <f>SUM('FU Distribution'!AK104:$AK$109)+IF('FU Distribution'!$D$112=4,'FU Distribution'!$D$114,0)</f>
        <v>0</v>
      </c>
      <c r="X42" s="96" t="e">
        <f>FORECAST((SUM(W42:W1037)),INDEX($B$3:$B$45,MATCH((SUM(W42:W1037)),$A$3:$A$45,1)):INDEX($B$3:$B$45,MATCH((SUM(W42:W1037)),$A$3:$A$45,1)+1),INDEX($A$3:$A$45,MATCH((SUM(W42:W1037)),$A$3:$A$45,1)):INDEX($A$3:$A$45,MATCH((SUM(W42:W1037)),$A$3:$A$45,1)+1))</f>
        <v>#N/A</v>
      </c>
      <c r="Y42" s="97" t="e">
        <f t="shared" si="1"/>
        <v>#N/A</v>
      </c>
      <c r="Z42" s="75">
        <f>SUM('FU Distribution'!AL104:$AL$109)</f>
        <v>0</v>
      </c>
      <c r="AA42" s="96" t="e">
        <f>FORECAST((SUM(Z42:Z1037)),INDEX($B$3:$B$45,MATCH((SUM(Z42:Z1037)),$A$3:$A$45,1)):INDEX($B$3:$B$45,MATCH((SUM(Z42:Z1037)),$A$3:$A$45,1)+1),INDEX($A$3:$A$45,MATCH((SUM(Z42:Z1037)),$A$3:$A$45,1)):INDEX($A$3:$A$45,MATCH((SUM(Z42:Z1037)),$A$3:$A$45,1)+1))</f>
        <v>#N/A</v>
      </c>
      <c r="AB42" s="97" t="e">
        <f t="shared" si="140"/>
        <v>#N/A</v>
      </c>
      <c r="AC42" s="61">
        <f>SUM('FU Distribution'!AN104:$AN$109)+IF('FU Distribution'!$D$112=5,'FU Distribution'!$D$114,0)</f>
        <v>0</v>
      </c>
      <c r="AD42" s="96" t="e">
        <f>FORECAST((SUM(AC42:AC1037)),INDEX($B$3:$B$45,MATCH((SUM(AC42:AC1037)),$A$3:$A$45,1)):INDEX($B$3:$B$45,MATCH((SUM(AC42:AC1037)),$A$3:$A$45,1)+1),INDEX($A$3:$A$45,MATCH((SUM(AC42:AC1037)),$A$3:$A$45,1)):INDEX($A$3:$A$45,MATCH((SUM(AC42:AC1037)),$A$3:$A$45,1)+1))</f>
        <v>#N/A</v>
      </c>
      <c r="AE42" s="97" t="e">
        <f t="shared" si="141"/>
        <v>#N/A</v>
      </c>
      <c r="AF42" s="61">
        <f>SUM('FU Distribution'!AO104:$AO$109)</f>
        <v>0</v>
      </c>
      <c r="AG42" s="96" t="e">
        <f>FORECAST((SUM(AF42:AF1037)),INDEX($B$3:$B$45,MATCH((SUM(AF42:AF1037)),$A$3:$A$45,1)):INDEX($B$3:$B$45,MATCH((SUM(AF42:AF1037)),$A$3:$A$45,1)+1),INDEX($A$3:$A$45,MATCH((SUM(AF42:AF1037)),$A$3:$A$45,1)):INDEX($A$3:$A$45,MATCH((SUM(AF42:AF1037)),$A$3:$A$45,1)+1))</f>
        <v>#N/A</v>
      </c>
      <c r="AH42" s="97" t="e">
        <f t="shared" si="142"/>
        <v>#N/A</v>
      </c>
      <c r="AI42" s="75">
        <f>SUM('FU Distribution'!AQ104:$AQ$109)+IF('FU Distribution'!$D$112=6,'FU Distribution'!$D$114,0)</f>
        <v>0</v>
      </c>
      <c r="AJ42" s="96" t="e">
        <f>FORECAST((SUM(AI42:AI1037)),INDEX($B$3:$B$45,MATCH((SUM(AI42:AI1037)),$A$3:$A$45,1)):INDEX($B$3:$B$45,MATCH((SUM(AI42:AI1037)),$A$3:$A$45,1)+1),INDEX($A$3:$A$45,MATCH((SUM(AI42:AI1037)),$A$3:$A$45,1)):INDEX($A$3:$A$45,MATCH((SUM(AI42:AI1037)),$A$3:$A$45,1)+1))</f>
        <v>#N/A</v>
      </c>
      <c r="AK42" s="97" t="e">
        <f t="shared" si="143"/>
        <v>#N/A</v>
      </c>
      <c r="AL42" s="75">
        <f>SUM('FU Distribution'!AR104:$AR$109)</f>
        <v>0</v>
      </c>
      <c r="AM42" s="96" t="e">
        <f>FORECAST((SUM(AL42:AL1037)),INDEX($B$3:$B$45,MATCH((SUM(AL42:AL1037)),$A$3:$A$45,1)):INDEX($B$3:$B$45,MATCH((SUM(AL42:AL1037)),$A$3:$A$45,1)+1),INDEX($A$3:$A$45,MATCH((SUM(AL42:AL1037)),$A$3:$A$45,1)):INDEX($A$3:$A$45,MATCH((SUM(AL42:AL1037)),$A$3:$A$45,1)+1))</f>
        <v>#N/A</v>
      </c>
      <c r="AN42" s="97" t="e">
        <f t="shared" si="144"/>
        <v>#N/A</v>
      </c>
      <c r="AO42" s="61">
        <f>SUM('FU Distribution'!AT104:$AT$109)+IF('FU Distribution'!$D$112=7,'FU Distribution'!$D$114,0)</f>
        <v>0</v>
      </c>
      <c r="AP42" s="96" t="e">
        <f>FORECAST((SUM(AO42:AO1037)),INDEX($B$3:$B$45,MATCH((SUM(AO42:AO1037)),$A$3:$A$45,1)):INDEX($B$3:$B$45,MATCH((SUM(AO42:AO1037)),$A$3:$A$45,1)+1),INDEX($A$3:$A$45,MATCH((SUM(AO42:AO1037)),$A$3:$A$45,1)):INDEX($A$3:$A$45,MATCH((SUM(AO42:AO1037)),$A$3:$A$45,1)+1))</f>
        <v>#N/A</v>
      </c>
      <c r="AQ42" s="97" t="e">
        <f t="shared" si="145"/>
        <v>#N/A</v>
      </c>
      <c r="AR42" s="61">
        <f>SUM('FU Distribution'!AU104:$AU$109)</f>
        <v>0</v>
      </c>
      <c r="AS42" s="96" t="e">
        <f>FORECAST((SUM(AR42:AR1037)),INDEX($B$3:$B$45,MATCH((SUM(AR42:AR1037)),$A$3:$A$45,1)):INDEX($B$3:$B$45,MATCH((SUM(AR42:AR1037)),$A$3:$A$45,1)+1),INDEX($A$3:$A$45,MATCH((SUM(AR42:AR1037)),$A$3:$A$45,1)):INDEX($A$3:$A$45,MATCH((SUM(AR42:AR1037)),$A$3:$A$45,1)+1))</f>
        <v>#N/A</v>
      </c>
      <c r="AT42" s="97" t="e">
        <f t="shared" si="146"/>
        <v>#N/A</v>
      </c>
      <c r="AU42" s="61">
        <f>SUM('FU Distribution'!AW104:$AW$109)+IF('FU Distribution'!$D$112=8,'FU Distribution'!$D$114,0)</f>
        <v>0</v>
      </c>
      <c r="AV42" s="98" t="e">
        <f>FORECAST(AU42,INDEX($B$3:$B$45,MATCH(AU42,$A$3:$A$45,1)):INDEX($B$3:$B$45,MATCH(AU42,$A$3:$A$45,1)+1),INDEX($A$3:$A$45,MATCH(AU42,$A$3:$A$45,1)):INDEX($A$3:$A$45,MATCH(AU42,$A$3:$A$45,1)+1))</f>
        <v>#N/A</v>
      </c>
      <c r="AW42" s="97" t="e">
        <f t="shared" si="147"/>
        <v>#N/A</v>
      </c>
      <c r="AX42" s="61">
        <f>SUM('FU Distribution'!AX104:$AX$109)</f>
        <v>0</v>
      </c>
      <c r="AY42" s="98" t="e">
        <f>FORECAST(AX42,INDEX($B$3:$B$45,MATCH(AX42,$A$3:$A$45,1)):INDEX($B$3:$B$45,MATCH(AX42,$A$3:$A$45,1)+1),INDEX($A$3:$A$45,MATCH(AX42,$A$3:$A$45,1)):INDEX($A$3:$A$45,MATCH(AX42,$A$3:$A$45,1)+1))</f>
        <v>#N/A</v>
      </c>
      <c r="AZ42" s="97" t="e">
        <f t="shared" si="148"/>
        <v>#N/A</v>
      </c>
      <c r="BA42" s="75">
        <f>SUM('FU Distribution'!AZ104:$AZ$109)+IF('FU Distribution'!$D$112=9,'FU Distribution'!$D$114,0)</f>
        <v>0</v>
      </c>
      <c r="BB42" s="76" t="e">
        <f>FORECAST((SUM(BA42:BA1037)),INDEX($B$3:$B$45,MATCH((SUM(BA42:BA1037)),$A$3:$A$45,1)):INDEX($B$3:$B$45,MATCH((SUM(BA42:BA1037)),$A$3:$A$45,1)+1),INDEX($A$3:$A$45,MATCH((SUM(BA42:BA1037)),$A$3:$A$45,1)):INDEX($A$3:$A$45,MATCH((SUM(BA42:BA1037)),$A$3:$A$45,1)+1))</f>
        <v>#N/A</v>
      </c>
      <c r="BC42" s="77" t="e">
        <f t="shared" si="3"/>
        <v>#N/A</v>
      </c>
      <c r="BD42" s="75">
        <f>SUM('FU Distribution'!BA104:$BA$109)</f>
        <v>0</v>
      </c>
      <c r="BE42" s="76" t="e">
        <f>FORECAST((SUM(BD42:BD1037)),INDEX($B$3:$B$45,MATCH((SUM(BD42:BD1037)),$A$3:$A$45,1)):INDEX($B$3:$B$45,MATCH((SUM(BD42:BD1037)),$A$3:$A$45,1)+1),INDEX($A$3:$A$45,MATCH((SUM(BD42:BD1037)),$A$3:$A$45,1)):INDEX($A$3:$A$45,MATCH((SUM(BD42:BD1037)),$A$3:$A$45,1)+1))</f>
        <v>#N/A</v>
      </c>
      <c r="BF42" s="77" t="e">
        <f t="shared" si="4"/>
        <v>#N/A</v>
      </c>
      <c r="BG42" s="61">
        <f>SUM('FU Distribution'!BC104:$BC$109)+IF('FU Distribution'!$D$112=10,'FU Distribution'!$D$114,0)</f>
        <v>0</v>
      </c>
      <c r="BH42" s="62" t="e">
        <f>FORECAST((SUM(BG42:BG1037)),INDEX($B$3:$B$45,MATCH((SUM(BG42:BG1037)),$A$3:$A$45,1)):INDEX($B$3:$B$45,MATCH((SUM(BG42:BG1037)),$A$3:$A$45,1)+1),INDEX($A$3:$A$45,MATCH((SUM(BG42:BG1037)),$A$3:$A$45,1)):INDEX($A$3:$A$45,MATCH((SUM(BG42:BG1037)),$A$3:$A$45,1)+1))</f>
        <v>#N/A</v>
      </c>
      <c r="BI42" s="74" t="e">
        <f t="shared" si="5"/>
        <v>#N/A</v>
      </c>
      <c r="BJ42" s="61">
        <f>SUM('FU Distribution'!BD104:$BD$109)</f>
        <v>0</v>
      </c>
      <c r="BK42" s="62" t="e">
        <f>FORECAST((SUM(BJ42:BJ1037)),INDEX($B$3:$B$45,MATCH((SUM(BJ42:BJ1037)),$A$3:$A$45,1)):INDEX($B$3:$B$45,MATCH((SUM(BJ42:BJ1037)),$A$3:$A$45,1)+1),INDEX($A$3:$A$45,MATCH((SUM(BJ42:BJ1037)),$A$3:$A$45,1)):INDEX($A$3:$A$45,MATCH((SUM(BJ42:BJ1037)),$A$3:$A$45,1)+1))</f>
        <v>#N/A</v>
      </c>
      <c r="BL42" s="74" t="e">
        <f t="shared" si="6"/>
        <v>#N/A</v>
      </c>
      <c r="BM42" s="75">
        <f>SUM('FU Distribution'!BF104:$BF$109)+IF('FU Distribution'!$D$112=11,'FU Distribution'!$D$114,0)</f>
        <v>0</v>
      </c>
      <c r="BN42" s="76" t="e">
        <f>FORECAST((SUM(BM42:BM1037)),INDEX($B$3:$B$45,MATCH((SUM(BM42:BM1037)),$A$3:$A$45,1)):INDEX($B$3:$B$45,MATCH((SUM(BM42:BM1037)),$A$3:$A$45,1)+1),INDEX($A$3:$A$45,MATCH((SUM(BM42:BM1037)),$A$3:$A$45,1)):INDEX($A$3:$A$45,MATCH((SUM(BM42:BM1037)),$A$3:$A$45,1)+1))</f>
        <v>#N/A</v>
      </c>
      <c r="BO42" s="77" t="e">
        <f t="shared" si="7"/>
        <v>#N/A</v>
      </c>
      <c r="BP42" s="75">
        <f>SUM('FU Distribution'!BG104:$BG$109)</f>
        <v>0</v>
      </c>
      <c r="BQ42" s="76" t="e">
        <f>FORECAST((SUM(BP42:BP1037)),INDEX($B$3:$B$45,MATCH((SUM(BP42:BP1037)),$A$3:$A$45,1)):INDEX($B$3:$B$45,MATCH((SUM(BP42:BP1037)),$A$3:$A$45,1)+1),INDEX($A$3:$A$45,MATCH((SUM(BP42:BP1037)),$A$3:$A$45,1)):INDEX($A$3:$A$45,MATCH((SUM(BP42:BP1037)),$A$3:$A$45,1)+1))</f>
        <v>#N/A</v>
      </c>
      <c r="BR42" s="77" t="e">
        <f t="shared" si="8"/>
        <v>#N/A</v>
      </c>
      <c r="BS42" s="61">
        <f>SUM('FU Distribution'!BI104:$BI$109)+IF('FU Distribution'!$D$112=12,'FU Distribution'!$D$114,0)</f>
        <v>0</v>
      </c>
      <c r="BT42" s="62" t="e">
        <f>FORECAST(BS42,INDEX($B$3:$B$45,MATCH(BS42,$A$3:$A$45,1)):INDEX($B$3:$B$45,MATCH(BS42,$A$3:$A$45,1)+1),INDEX($A$3:$A$45,MATCH(BS42,$A$3:$A$45,1)):INDEX($A$3:$A$45,MATCH(BS42,$A$3:$A$45,1)+1))</f>
        <v>#N/A</v>
      </c>
      <c r="BU42" s="74" t="e">
        <f t="shared" si="9"/>
        <v>#N/A</v>
      </c>
      <c r="BV42" s="61">
        <f>SUM('FU Distribution'!BJ104:$BJ$109)</f>
        <v>0</v>
      </c>
      <c r="BW42" s="62" t="e">
        <f>FORECAST(BV42,INDEX($B$3:$B$45,MATCH(BV42,$A$3:$A$45,1)):INDEX($B$3:$B$45,MATCH(BV42,$A$3:$A$45,1)+1),INDEX($A$3:$A$45,MATCH(BV42,$A$3:$A$45,1)):INDEX($A$3:$A$45,MATCH(BV42,$A$3:$A$45,1)+1))</f>
        <v>#N/A</v>
      </c>
      <c r="BX42" s="74" t="e">
        <f t="shared" si="10"/>
        <v>#N/A</v>
      </c>
      <c r="BY42" s="75">
        <f>SUM('FU Distribution'!BL104:$BL$109)+IF('FU Distribution'!$D$112=13,'FU Distribution'!$D$114,0)</f>
        <v>0</v>
      </c>
      <c r="BZ42" s="76" t="e">
        <f>FORECAST(BY42,INDEX($B$3:$B$45,MATCH(BY42,$A$3:$A$45,1)):INDEX($B$3:$B$45,MATCH(BY42,$A$3:$A$45,1)+1),INDEX($A$3:$A$45,MATCH(BY42,$A$3:$A$45,1)):INDEX($A$3:$A$45,MATCH(BY42,$A$3:$A$45,1)+1))</f>
        <v>#N/A</v>
      </c>
      <c r="CA42" s="77" t="e">
        <f t="shared" si="11"/>
        <v>#N/A</v>
      </c>
      <c r="CB42" s="75">
        <f>SUM('FU Distribution'!BM104:$BM$109)</f>
        <v>0</v>
      </c>
      <c r="CC42" s="76" t="e">
        <f>FORECAST(CB42,INDEX($B$3:$B$45,MATCH(CB42,$A$3:$A$45,1)):INDEX($B$3:$B$45,MATCH(CB42,$A$3:$A$45,1)+1),INDEX($A$3:$A$45,MATCH(CB42,$A$3:$A$45,1)):INDEX($A$3:$A$45,MATCH(CB42,$A$3:$A$45,1)+1))</f>
        <v>#N/A</v>
      </c>
      <c r="CD42" s="77" t="e">
        <f t="shared" si="12"/>
        <v>#N/A</v>
      </c>
      <c r="CE42" s="61">
        <f>SUM('FU Distribution'!BO104:$BO$109)+IF('FU Distribution'!$D$112=13,'FU Distribution'!$D$114,0)</f>
        <v>0</v>
      </c>
      <c r="CF42" s="62" t="e">
        <f>FORECAST(CE42,INDEX($B$3:$B$45,MATCH(CE42,$A$3:$A$45,1)):INDEX($B$3:$B$45,MATCH(CE42,$A$3:$A$45,1)+1),INDEX($A$3:$A$45,MATCH(CE42,$A$3:$A$45,1)):INDEX($A$3:$A$45,MATCH(CE42,$A$3:$A$45,1)+1))</f>
        <v>#N/A</v>
      </c>
      <c r="CG42" s="74" t="e">
        <f t="shared" si="13"/>
        <v>#N/A</v>
      </c>
      <c r="CH42" s="61">
        <f>SUM('FU Distribution'!BP104:$BP$109)</f>
        <v>0</v>
      </c>
      <c r="CI42" s="62" t="e">
        <f>FORECAST(CH42,INDEX($B$3:$B$45,MATCH(CH42,$A$3:$A$45,1)):INDEX($B$3:$B$45,MATCH(CH42,$A$3:$A$45,1)+1),INDEX($A$3:$A$45,MATCH(CH42,$A$3:$A$45,1)):INDEX($A$3:$A$45,MATCH(CH42,$A$3:$A$45,1)+1))</f>
        <v>#N/A</v>
      </c>
      <c r="CJ42" s="74" t="e">
        <f t="shared" si="14"/>
        <v>#N/A</v>
      </c>
    </row>
    <row r="43" spans="1:88" x14ac:dyDescent="0.25">
      <c r="A43" s="2">
        <v>2500</v>
      </c>
      <c r="B43" s="2">
        <v>380</v>
      </c>
      <c r="C43" s="63"/>
      <c r="D43" s="52">
        <v>39</v>
      </c>
      <c r="E43" s="61">
        <f>SUM('FU Distribution'!AB105:$AB$109)+IF('FU Distribution'!$D$112=1,'FU Distribution'!$D$114,0)</f>
        <v>0</v>
      </c>
      <c r="F43" s="98" t="e">
        <f>FORECAST((SUM(E43:E1037)),INDEX($B$3:$B$45,MATCH((SUM(E43:E1037)),$A$3:$A$45,1)):INDEX($B$3:$B$45,MATCH((SUM(E43:E1037)),$A$3:$A$45,1)+1),INDEX($A$3:$A$45,MATCH((SUM(E43:E1037)),$A$3:$A$45,1)):INDEX($A$3:$A$45,MATCH((SUM(E43:E1037)),$A$3:$A$45,1)+1))</f>
        <v>#N/A</v>
      </c>
      <c r="G43" s="99" t="e">
        <f t="shared" si="135"/>
        <v>#N/A</v>
      </c>
      <c r="H43" s="61">
        <f>SUM('FU Distribution'!AC105:$AC$109)</f>
        <v>0</v>
      </c>
      <c r="I43" s="98" t="e">
        <f>FORECAST((SUM(H43:H1038)),INDEX($B$3:$B$45,MATCH((SUM(H43:H1038)),$A$3:$A$45,1)):INDEX($B$3:$B$45,MATCH((SUM(H43:H1038)),$A$3:$A$45,1)+1),INDEX($A$3:$A$45,MATCH((SUM(H43:H1038)),$A$3:$A$45,1)):INDEX($A$3:$A$45,MATCH((SUM(H43:H1038)),$A$3:$A$45,1)+1))</f>
        <v>#N/A</v>
      </c>
      <c r="J43" s="99" t="e">
        <f t="shared" si="136"/>
        <v>#N/A</v>
      </c>
      <c r="K43" s="75">
        <f>SUM('FU Distribution'!AE105:$AE$109)+IF('FU Distribution'!$D$112=2,'FU Distribution'!$D$114,0)</f>
        <v>0</v>
      </c>
      <c r="L43" s="100" t="e">
        <f>FORECAST((SUM(K43:K1038)),INDEX($B$3:$B$45,MATCH((SUM(K43:K1038)),$A$3:$A$45,1)):INDEX($B$3:$B$45,MATCH((SUM(K43:K1038)),$A$3:$A$45,1)+1),INDEX($A$3:$A$45,MATCH((SUM(K43:K1038)),$A$3:$A$45,1)):INDEX($A$3:$A$45,MATCH((SUM(K43:K1038)),$A$3:$A$45,1)+1))</f>
        <v>#N/A</v>
      </c>
      <c r="M43" s="101" t="e">
        <f>IF(AND(L43&lt;=750,L43&gt;250),6,IF(AND(L43&lt;=250,L43&gt;120),4,IF(AND(L43&lt;=120,L43&gt;75),3,IF(AND(L43&lt;=75,L43&gt;40),2.5,IF(AND(L43&lt;=40,L43&gt;20),2,IF(AND(L43&lt;=20,L43&gt;14),1.5,IF(AND(L43&lt;=14,L43&gt;7),1.25,IF(AND(L43&lt;=7,L43&gt;3.5),1,IF(AND(L43&lt;=3.5,L43&gt;1.7),0.75,IF(AND(L43&lt;=1.7,L43&gt;0),0.5))))))))))</f>
        <v>#N/A</v>
      </c>
      <c r="N43" s="75">
        <f>SUM('FU Distribution'!AF105:$AF$109)</f>
        <v>0</v>
      </c>
      <c r="O43" s="100" t="e">
        <f>FORECAST((SUM(N43:N1038)),INDEX($B$3:$B$45,MATCH((SUM(N43:N1038)),$A$3:$A$45,1)):INDEX($B$3:$B$45,MATCH((SUM(N43:N1038)),$A$3:$A$45,1)+1),INDEX($A$3:$A$45,MATCH((SUM(N43:N1038)),$A$3:$A$45,1)):INDEX($A$3:$A$45,MATCH((SUM(N43:N1038)),$A$3:$A$45,1)+1))</f>
        <v>#N/A</v>
      </c>
      <c r="P43" s="101" t="e">
        <f t="shared" si="138"/>
        <v>#N/A</v>
      </c>
      <c r="Q43" s="61">
        <f>SUM('FU Distribution'!AH105:$AH$109)+IF('FU Distribution'!$D$112=3,'FU Distribution'!$D$114,0)</f>
        <v>0</v>
      </c>
      <c r="R43" s="98" t="e">
        <f>FORECAST((SUM(Q43:Q1038)),INDEX($B$3:$B$45,MATCH((SUM(Q43:Q1038)),$A$3:$A$45,1)):INDEX($B$3:$B$45,MATCH((SUM(Q43:Q1038)),$A$3:$A$45,1)+1),INDEX($A$3:$A$45,MATCH((SUM(Q43:Q1038)),$A$3:$A$45,1)):INDEX($A$3:$A$45,MATCH((SUM(Q43:Q1038)),$A$3:$A$45,1)+1))</f>
        <v>#N/A</v>
      </c>
      <c r="S43" s="99" t="e">
        <f t="shared" si="139"/>
        <v>#N/A</v>
      </c>
      <c r="T43" s="61">
        <f>SUM('FU Distribution'!AI105:$AI$109)</f>
        <v>0</v>
      </c>
      <c r="U43" s="98" t="e">
        <f>FORECAST((SUM(T43:T1038)),INDEX($B$3:$B$45,MATCH((SUM(T43:T1038)),$A$3:$A$45,1)):INDEX($B$3:$B$45,MATCH((SUM(T43:T1038)),$A$3:$A$45,1)+1),INDEX($A$3:$A$45,MATCH((SUM(T43:T1038)),$A$3:$A$45,1)):INDEX($A$3:$A$45,MATCH((SUM(T43:T1038)),$A$3:$A$45,1)+1))</f>
        <v>#N/A</v>
      </c>
      <c r="V43" s="99" t="e">
        <f t="shared" si="0"/>
        <v>#N/A</v>
      </c>
      <c r="W43" s="75">
        <f>SUM('FU Distribution'!AK105:$AK$109)+IF('FU Distribution'!$D$112=4,'FU Distribution'!$D$114,0)</f>
        <v>0</v>
      </c>
      <c r="X43" s="100" t="e">
        <f>FORECAST((SUM(W43:W1038)),INDEX($B$3:$B$45,MATCH((SUM(W43:W1038)),$A$3:$A$45,1)):INDEX($B$3:$B$45,MATCH((SUM(W43:W1038)),$A$3:$A$45,1)+1),INDEX($A$3:$A$45,MATCH((SUM(W43:W1038)),$A$3:$A$45,1)):INDEX($A$3:$A$45,MATCH((SUM(W43:W1038)),$A$3:$A$45,1)+1))</f>
        <v>#N/A</v>
      </c>
      <c r="Y43" s="101" t="e">
        <f t="shared" si="1"/>
        <v>#N/A</v>
      </c>
      <c r="Z43" s="75">
        <f>SUM('FU Distribution'!AL105:$AL$109)</f>
        <v>0</v>
      </c>
      <c r="AA43" s="100" t="e">
        <f>FORECAST((SUM(Z43:Z1038)),INDEX($B$3:$B$45,MATCH((SUM(Z43:Z1038)),$A$3:$A$45,1)):INDEX($B$3:$B$45,MATCH((SUM(Z43:Z1038)),$A$3:$A$45,1)+1),INDEX($A$3:$A$45,MATCH((SUM(Z43:Z1038)),$A$3:$A$45,1)):INDEX($A$3:$A$45,MATCH((SUM(Z43:Z1038)),$A$3:$A$45,1)+1))</f>
        <v>#N/A</v>
      </c>
      <c r="AB43" s="101" t="e">
        <f t="shared" si="140"/>
        <v>#N/A</v>
      </c>
      <c r="AC43" s="61">
        <f>SUM('FU Distribution'!AN105:$AN$109)+IF('FU Distribution'!$D$112=5,'FU Distribution'!$D$114,0)</f>
        <v>0</v>
      </c>
      <c r="AD43" s="98" t="e">
        <f>FORECAST((SUM(AC43:AC1038)),INDEX($B$3:$B$45,MATCH((SUM(AC43:AC1038)),$A$3:$A$45,1)):INDEX($B$3:$B$45,MATCH((SUM(AC43:AC1038)),$A$3:$A$45,1)+1),INDEX($A$3:$A$45,MATCH((SUM(AC43:AC1038)),$A$3:$A$45,1)):INDEX($A$3:$A$45,MATCH((SUM(AC43:AC1038)),$A$3:$A$45,1)+1))</f>
        <v>#N/A</v>
      </c>
      <c r="AE43" s="99" t="e">
        <f t="shared" si="141"/>
        <v>#N/A</v>
      </c>
      <c r="AF43" s="61">
        <f>SUM('FU Distribution'!AO105:$AO$109)</f>
        <v>0</v>
      </c>
      <c r="AG43" s="98" t="e">
        <f>FORECAST((SUM(AF43:AF1038)),INDEX($B$3:$B$45,MATCH((SUM(AF43:AF1038)),$A$3:$A$45,1)):INDEX($B$3:$B$45,MATCH((SUM(AF43:AF1038)),$A$3:$A$45,1)+1),INDEX($A$3:$A$45,MATCH((SUM(AF43:AF1038)),$A$3:$A$45,1)):INDEX($A$3:$A$45,MATCH((SUM(AF43:AF1038)),$A$3:$A$45,1)+1))</f>
        <v>#N/A</v>
      </c>
      <c r="AH43" s="99" t="e">
        <f t="shared" si="142"/>
        <v>#N/A</v>
      </c>
      <c r="AI43" s="75">
        <f>SUM('FU Distribution'!AQ105:$AQ$109)+IF('FU Distribution'!$D$112=6,'FU Distribution'!$D$114,0)</f>
        <v>0</v>
      </c>
      <c r="AJ43" s="100" t="e">
        <f>FORECAST((SUM(AI43:AI1038)),INDEX($B$3:$B$45,MATCH((SUM(AI43:AI1038)),$A$3:$A$45,1)):INDEX($B$3:$B$45,MATCH((SUM(AI43:AI1038)),$A$3:$A$45,1)+1),INDEX($A$3:$A$45,MATCH((SUM(AI43:AI1038)),$A$3:$A$45,1)):INDEX($A$3:$A$45,MATCH((SUM(AI43:AI1038)),$A$3:$A$45,1)+1))</f>
        <v>#N/A</v>
      </c>
      <c r="AK43" s="101" t="e">
        <f t="shared" si="143"/>
        <v>#N/A</v>
      </c>
      <c r="AL43" s="75">
        <f>SUM('FU Distribution'!AR105:$AR$109)</f>
        <v>0</v>
      </c>
      <c r="AM43" s="100" t="e">
        <f>FORECAST((SUM(AL43:AL1038)),INDEX($B$3:$B$45,MATCH((SUM(AL43:AL1038)),$A$3:$A$45,1)):INDEX($B$3:$B$45,MATCH((SUM(AL43:AL1038)),$A$3:$A$45,1)+1),INDEX($A$3:$A$45,MATCH((SUM(AL43:AL1038)),$A$3:$A$45,1)):INDEX($A$3:$A$45,MATCH((SUM(AL43:AL1038)),$A$3:$A$45,1)+1))</f>
        <v>#N/A</v>
      </c>
      <c r="AN43" s="101" t="e">
        <f t="shared" si="144"/>
        <v>#N/A</v>
      </c>
      <c r="AO43" s="61">
        <f>SUM('FU Distribution'!AT105:$AT$109)+IF('FU Distribution'!$D$112=7,'FU Distribution'!$D$114,0)</f>
        <v>0</v>
      </c>
      <c r="AP43" s="98" t="e">
        <f>FORECAST((SUM(AO43:AO1038)),INDEX($B$3:$B$45,MATCH((SUM(AO43:AO1038)),$A$3:$A$45,1)):INDEX($B$3:$B$45,MATCH((SUM(AO43:AO1038)),$A$3:$A$45,1)+1),INDEX($A$3:$A$45,MATCH((SUM(AO43:AO1038)),$A$3:$A$45,1)):INDEX($A$3:$A$45,MATCH((SUM(AO43:AO1038)),$A$3:$A$45,1)+1))</f>
        <v>#N/A</v>
      </c>
      <c r="AQ43" s="99" t="e">
        <f t="shared" si="145"/>
        <v>#N/A</v>
      </c>
      <c r="AR43" s="61">
        <f>SUM('FU Distribution'!AU105:$AU$109)</f>
        <v>0</v>
      </c>
      <c r="AS43" s="98" t="e">
        <f>FORECAST((SUM(AR43:AR1038)),INDEX($B$3:$B$45,MATCH((SUM(AR43:AR1038)),$A$3:$A$45,1)):INDEX($B$3:$B$45,MATCH((SUM(AR43:AR1038)),$A$3:$A$45,1)+1),INDEX($A$3:$A$45,MATCH((SUM(AR43:AR1038)),$A$3:$A$45,1)):INDEX($A$3:$A$45,MATCH((SUM(AR43:AR1038)),$A$3:$A$45,1)+1))</f>
        <v>#N/A</v>
      </c>
      <c r="AT43" s="99" t="e">
        <f t="shared" si="146"/>
        <v>#N/A</v>
      </c>
      <c r="AU43" s="61">
        <f>SUM('FU Distribution'!AW105:$AW$109)+IF('FU Distribution'!$D$112=8,'FU Distribution'!$D$114,0)</f>
        <v>0</v>
      </c>
      <c r="AV43" s="98" t="e">
        <f>FORECAST(AU43,INDEX($B$3:$B$45,MATCH(AU43,$A$3:$A$45,1)):INDEX($B$3:$B$45,MATCH(AU43,$A$3:$A$45,1)+1),INDEX($A$3:$A$45,MATCH(AU43,$A$3:$A$45,1)):INDEX($A$3:$A$45,MATCH(AU43,$A$3:$A$45,1)+1))</f>
        <v>#N/A</v>
      </c>
      <c r="AW43" s="99" t="e">
        <f t="shared" si="147"/>
        <v>#N/A</v>
      </c>
      <c r="AX43" s="61">
        <f>SUM('FU Distribution'!AX105:$AX$109)</f>
        <v>0</v>
      </c>
      <c r="AY43" s="98" t="e">
        <f>FORECAST(AX43,INDEX($B$3:$B$45,MATCH(AX43,$A$3:$A$45,1)):INDEX($B$3:$B$45,MATCH(AX43,$A$3:$A$45,1)+1),INDEX($A$3:$A$45,MATCH(AX43,$A$3:$A$45,1)):INDEX($A$3:$A$45,MATCH(AX43,$A$3:$A$45,1)+1))</f>
        <v>#N/A</v>
      </c>
      <c r="AZ43" s="99" t="e">
        <f t="shared" si="148"/>
        <v>#N/A</v>
      </c>
      <c r="BA43" s="75">
        <f>SUM('FU Distribution'!AZ105:$AZ$109)+IF('FU Distribution'!$D$112=9,'FU Distribution'!$D$114,0)</f>
        <v>0</v>
      </c>
      <c r="BB43" s="76" t="e">
        <f>FORECAST((SUM(BA43:BA1038)),INDEX($B$3:$B$45,MATCH((SUM(BA43:BA1038)),$A$3:$A$45,1)):INDEX($B$3:$B$45,MATCH((SUM(BA43:BA1038)),$A$3:$A$45,1)+1),INDEX($A$3:$A$45,MATCH((SUM(BA43:BA1038)),$A$3:$A$45,1)):INDEX($A$3:$A$45,MATCH((SUM(BA43:BA1038)),$A$3:$A$45,1)+1))</f>
        <v>#N/A</v>
      </c>
      <c r="BC43" s="77" t="e">
        <f t="shared" si="3"/>
        <v>#N/A</v>
      </c>
      <c r="BD43" s="75">
        <f>SUM('FU Distribution'!BA105:$BA$109)</f>
        <v>0</v>
      </c>
      <c r="BE43" s="76" t="e">
        <f>FORECAST((SUM(BD43:BD1038)),INDEX($B$3:$B$45,MATCH((SUM(BD43:BD1038)),$A$3:$A$45,1)):INDEX($B$3:$B$45,MATCH((SUM(BD43:BD1038)),$A$3:$A$45,1)+1),INDEX($A$3:$A$45,MATCH((SUM(BD43:BD1038)),$A$3:$A$45,1)):INDEX($A$3:$A$45,MATCH((SUM(BD43:BD1038)),$A$3:$A$45,1)+1))</f>
        <v>#N/A</v>
      </c>
      <c r="BF43" s="77" t="e">
        <f t="shared" si="4"/>
        <v>#N/A</v>
      </c>
      <c r="BG43" s="61">
        <f>SUM('FU Distribution'!BC105:$BC$109)+IF('FU Distribution'!$D$112=10,'FU Distribution'!$D$114,0)</f>
        <v>0</v>
      </c>
      <c r="BH43" s="62" t="e">
        <f>FORECAST((SUM(BG43:BG1038)),INDEX($B$3:$B$45,MATCH((SUM(BG43:BG1038)),$A$3:$A$45,1)):INDEX($B$3:$B$45,MATCH((SUM(BG43:BG1038)),$A$3:$A$45,1)+1),INDEX($A$3:$A$45,MATCH((SUM(BG43:BG1038)),$A$3:$A$45,1)):INDEX($A$3:$A$45,MATCH((SUM(BG43:BG1038)),$A$3:$A$45,1)+1))</f>
        <v>#N/A</v>
      </c>
      <c r="BI43" s="74" t="e">
        <f t="shared" si="5"/>
        <v>#N/A</v>
      </c>
      <c r="BJ43" s="61">
        <f>SUM('FU Distribution'!BD105:$BD$109)</f>
        <v>0</v>
      </c>
      <c r="BK43" s="62" t="e">
        <f>FORECAST((SUM(BJ43:BJ1038)),INDEX($B$3:$B$45,MATCH((SUM(BJ43:BJ1038)),$A$3:$A$45,1)):INDEX($B$3:$B$45,MATCH((SUM(BJ43:BJ1038)),$A$3:$A$45,1)+1),INDEX($A$3:$A$45,MATCH((SUM(BJ43:BJ1038)),$A$3:$A$45,1)):INDEX($A$3:$A$45,MATCH((SUM(BJ43:BJ1038)),$A$3:$A$45,1)+1))</f>
        <v>#N/A</v>
      </c>
      <c r="BL43" s="74" t="e">
        <f t="shared" si="6"/>
        <v>#N/A</v>
      </c>
      <c r="BM43" s="75">
        <f>SUM('FU Distribution'!BF105:$BF$109)+IF('FU Distribution'!$D$112=11,'FU Distribution'!$D$114,0)</f>
        <v>0</v>
      </c>
      <c r="BN43" s="76" t="e">
        <f>FORECAST((SUM(BM43:BM1038)),INDEX($B$3:$B$45,MATCH((SUM(BM43:BM1038)),$A$3:$A$45,1)):INDEX($B$3:$B$45,MATCH((SUM(BM43:BM1038)),$A$3:$A$45,1)+1),INDEX($A$3:$A$45,MATCH((SUM(BM43:BM1038)),$A$3:$A$45,1)):INDEX($A$3:$A$45,MATCH((SUM(BM43:BM1038)),$A$3:$A$45,1)+1))</f>
        <v>#N/A</v>
      </c>
      <c r="BO43" s="77" t="e">
        <f t="shared" si="7"/>
        <v>#N/A</v>
      </c>
      <c r="BP43" s="75">
        <f>SUM('FU Distribution'!BG105:$BG$109)</f>
        <v>0</v>
      </c>
      <c r="BQ43" s="76" t="e">
        <f>FORECAST((SUM(BP43:BP1038)),INDEX($B$3:$B$45,MATCH((SUM(BP43:BP1038)),$A$3:$A$45,1)):INDEX($B$3:$B$45,MATCH((SUM(BP43:BP1038)),$A$3:$A$45,1)+1),INDEX($A$3:$A$45,MATCH((SUM(BP43:BP1038)),$A$3:$A$45,1)):INDEX($A$3:$A$45,MATCH((SUM(BP43:BP1038)),$A$3:$A$45,1)+1))</f>
        <v>#N/A</v>
      </c>
      <c r="BR43" s="77" t="e">
        <f t="shared" si="8"/>
        <v>#N/A</v>
      </c>
      <c r="BS43" s="61">
        <f>SUM('FU Distribution'!BI105:$BI$109)+IF('FU Distribution'!$D$112=12,'FU Distribution'!$D$114,0)</f>
        <v>0</v>
      </c>
      <c r="BT43" s="62" t="e">
        <f>FORECAST(BS43,INDEX($B$3:$B$45,MATCH(BS43,$A$3:$A$45,1)):INDEX($B$3:$B$45,MATCH(BS43,$A$3:$A$45,1)+1),INDEX($A$3:$A$45,MATCH(BS43,$A$3:$A$45,1)):INDEX($A$3:$A$45,MATCH(BS43,$A$3:$A$45,1)+1))</f>
        <v>#N/A</v>
      </c>
      <c r="BU43" s="74" t="e">
        <f t="shared" si="9"/>
        <v>#N/A</v>
      </c>
      <c r="BV43" s="61">
        <f>SUM('FU Distribution'!BJ105:$BJ$109)</f>
        <v>0</v>
      </c>
      <c r="BW43" s="62" t="e">
        <f>FORECAST(BV43,INDEX($B$3:$B$45,MATCH(BV43,$A$3:$A$45,1)):INDEX($B$3:$B$45,MATCH(BV43,$A$3:$A$45,1)+1),INDEX($A$3:$A$45,MATCH(BV43,$A$3:$A$45,1)):INDEX($A$3:$A$45,MATCH(BV43,$A$3:$A$45,1)+1))</f>
        <v>#N/A</v>
      </c>
      <c r="BX43" s="74" t="e">
        <f t="shared" si="10"/>
        <v>#N/A</v>
      </c>
      <c r="BY43" s="75">
        <f>SUM('FU Distribution'!BL105:$BL$109)+IF('FU Distribution'!$D$112=13,'FU Distribution'!$D$114,0)</f>
        <v>0</v>
      </c>
      <c r="BZ43" s="76" t="e">
        <f>FORECAST(BY43,INDEX($B$3:$B$45,MATCH(BY43,$A$3:$A$45,1)):INDEX($B$3:$B$45,MATCH(BY43,$A$3:$A$45,1)+1),INDEX($A$3:$A$45,MATCH(BY43,$A$3:$A$45,1)):INDEX($A$3:$A$45,MATCH(BY43,$A$3:$A$45,1)+1))</f>
        <v>#N/A</v>
      </c>
      <c r="CA43" s="77" t="e">
        <f t="shared" si="11"/>
        <v>#N/A</v>
      </c>
      <c r="CB43" s="75">
        <f>SUM('FU Distribution'!BM105:$BM$109)</f>
        <v>0</v>
      </c>
      <c r="CC43" s="76" t="e">
        <f>FORECAST(CB43,INDEX($B$3:$B$45,MATCH(CB43,$A$3:$A$45,1)):INDEX($B$3:$B$45,MATCH(CB43,$A$3:$A$45,1)+1),INDEX($A$3:$A$45,MATCH(CB43,$A$3:$A$45,1)):INDEX($A$3:$A$45,MATCH(CB43,$A$3:$A$45,1)+1))</f>
        <v>#N/A</v>
      </c>
      <c r="CD43" s="77" t="e">
        <f t="shared" si="12"/>
        <v>#N/A</v>
      </c>
      <c r="CE43" s="61">
        <f>SUM('FU Distribution'!BO105:$BO$109)+IF('FU Distribution'!$D$112=13,'FU Distribution'!$D$114,0)</f>
        <v>0</v>
      </c>
      <c r="CF43" s="62" t="e">
        <f>FORECAST(CE43,INDEX($B$3:$B$45,MATCH(CE43,$A$3:$A$45,1)):INDEX($B$3:$B$45,MATCH(CE43,$A$3:$A$45,1)+1),INDEX($A$3:$A$45,MATCH(CE43,$A$3:$A$45,1)):INDEX($A$3:$A$45,MATCH(CE43,$A$3:$A$45,1)+1))</f>
        <v>#N/A</v>
      </c>
      <c r="CG43" s="74" t="e">
        <f t="shared" si="13"/>
        <v>#N/A</v>
      </c>
      <c r="CH43" s="61">
        <f>SUM('FU Distribution'!BP105:$BP$109)</f>
        <v>0</v>
      </c>
      <c r="CI43" s="62" t="e">
        <f>FORECAST(CH43,INDEX($B$3:$B$45,MATCH(CH43,$A$3:$A$45,1)):INDEX($B$3:$B$45,MATCH(CH43,$A$3:$A$45,1)+1),INDEX($A$3:$A$45,MATCH(CH43,$A$3:$A$45,1)):INDEX($A$3:$A$45,MATCH(CH43,$A$3:$A$45,1)+1))</f>
        <v>#N/A</v>
      </c>
      <c r="CJ43" s="74" t="e">
        <f t="shared" si="14"/>
        <v>#N/A</v>
      </c>
    </row>
    <row r="44" spans="1:88" x14ac:dyDescent="0.25">
      <c r="A44" s="2">
        <v>2750</v>
      </c>
      <c r="B44" s="2">
        <v>400</v>
      </c>
      <c r="C44" s="63"/>
      <c r="D44" s="52">
        <v>40</v>
      </c>
      <c r="E44" s="61">
        <f>SUM('FU Distribution'!AB106:$AB$109)+IF('FU Distribution'!$D$112=1,'FU Distribution'!$D$114,0)</f>
        <v>0</v>
      </c>
      <c r="F44" s="96" t="e">
        <f>FORECAST((SUM(E44:E1039)),INDEX($B$3:$B$45,MATCH((SUM(E44:E1039)),$A$3:$A$45,1)):INDEX($B$3:$B$45,MATCH((SUM(E44:E1039)),$A$3:$A$45,1)+1),INDEX($A$3:$A$45,MATCH((SUM(E44:E1039)),$A$3:$A$45,1)):INDEX($A$3:$A$45,MATCH((SUM(E44:E1039)),$A$3:$A$45,1)+1))</f>
        <v>#N/A</v>
      </c>
      <c r="G44" s="97" t="e">
        <f t="shared" ref="G44:G45" si="149">IF(AND(F44&lt;=750,F44&gt;250),6,IF(AND(F44&lt;=250,F44&gt;120),4,IF(AND(F44&lt;=120,F44&gt;75),3,IF(AND(F44&lt;=75,F44&gt;40),2.5,IF(AND(F44&lt;=40,F44&gt;20),2,IF(AND(F44&lt;=20,F44&gt;14),1.5,IF(AND(F44&lt;=14,F44&gt;7),1.25,IF(AND(F44&lt;=7,F44&gt;3.5),1,IF(AND(F44&lt;=3.5,F44&gt;1.7),0.75,IF(AND(F44&lt;=1.7,F44&gt;0),0.5,IF(AND(F44&lt;=0,F44&gt;-1),0)))))))))))</f>
        <v>#N/A</v>
      </c>
      <c r="H44" s="61">
        <f>SUM('FU Distribution'!AC106:$AC$109)</f>
        <v>0</v>
      </c>
      <c r="I44" s="96" t="e">
        <f>FORECAST((SUM(H44:H1039)),INDEX($B$3:$B$45,MATCH((SUM(H44:H1039)),$A$3:$A$45,1)):INDEX($B$3:$B$45,MATCH((SUM(H44:H1039)),$A$3:$A$45,1)+1),INDEX($A$3:$A$45,MATCH((SUM(H44:H1039)),$A$3:$A$45,1)):INDEX($A$3:$A$45,MATCH((SUM(H44:H1039)),$A$3:$A$45,1)+1))</f>
        <v>#N/A</v>
      </c>
      <c r="J44" s="97" t="e">
        <f t="shared" ref="J44:J45" si="150">IF(AND(I44&lt;=750,I44&gt;250),6,IF(AND(I44&lt;=250,I44&gt;120),4,IF(AND(I44&lt;=120,I44&gt;75),3,IF(AND(I44&lt;=75,I44&gt;40),2.5,IF(AND(I44&lt;=40,I44&gt;20),2,IF(AND(I44&lt;=20,I44&gt;14),1.5,IF(AND(I44&lt;=14,I44&gt;7),1.25,IF(AND(I44&lt;=7,I44&gt;3.5),1,IF(AND(I44&lt;=3.5,I44&gt;1.7),0.75,IF(AND(I44&lt;=1.7,I44&gt;0),0.5,IF(AND(I44&lt;=0,I44&gt;-1),0)))))))))))</f>
        <v>#N/A</v>
      </c>
      <c r="K44" s="75">
        <f>SUM('FU Distribution'!AE106:$AE$109)+IF('FU Distribution'!$D$112=2,'FU Distribution'!$D$114,0)</f>
        <v>0</v>
      </c>
      <c r="L44" s="96" t="e">
        <f>FORECAST((SUM(K44:K1039)),INDEX($B$3:$B$45,MATCH((SUM(K44:K1039)),$A$3:$A$45,1)):INDEX($B$3:$B$45,MATCH((SUM(K44:K1039)),$A$3:$A$45,1)+1),INDEX($A$3:$A$45,MATCH((SUM(K44:K1039)),$A$3:$A$45,1)):INDEX($A$3:$A$45,MATCH((SUM(K44:K1039)),$A$3:$A$45,1)+1))</f>
        <v>#N/A</v>
      </c>
      <c r="M44" s="97" t="e">
        <f>IF(AND(L44&lt;=750,L44&gt;250),6,IF(AND(L44&lt;=250,L44&gt;120),4,IF(AND(L44&lt;=120,L44&gt;75),3,IF(AND(L44&lt;=75,L44&gt;40),2.5,IF(AND(L44&lt;=40,L44&gt;20),2,IF(AND(L44&lt;=20,L44&gt;14),1.5,IF(AND(L44&lt;=14,L44&gt;7),1.25,IF(AND(L44&lt;=7,L44&gt;3.5),1,IF(AND(L44&lt;=3.5,L44&gt;1.7),0.75,IF(AND(L44&lt;=1.7,L44&gt;0),0.5))))))))))</f>
        <v>#N/A</v>
      </c>
      <c r="N44" s="75">
        <f>SUM('FU Distribution'!AF106:$AF$109)</f>
        <v>0</v>
      </c>
      <c r="O44" s="96" t="e">
        <f>FORECAST((SUM(N44:N1039)),INDEX($B$3:$B$45,MATCH((SUM(N44:N1039)),$A$3:$A$45,1)):INDEX($B$3:$B$45,MATCH((SUM(N44:N1039)),$A$3:$A$45,1)+1),INDEX($A$3:$A$45,MATCH((SUM(N44:N1039)),$A$3:$A$45,1)):INDEX($A$3:$A$45,MATCH((SUM(N44:N1039)),$A$3:$A$45,1)+1))</f>
        <v>#N/A</v>
      </c>
      <c r="P44" s="97" t="e">
        <f t="shared" ref="P44:P45" si="151">IF(AND(O44&lt;=750,O44&gt;250),6,IF(AND(O44&lt;=250,O44&gt;120),4,IF(AND(O44&lt;=120,O44&gt;75),3,IF(AND(O44&lt;=75,O44&gt;40),2.5,IF(AND(O44&lt;=40,O44&gt;20),2,IF(AND(O44&lt;=20,O44&gt;14),1.5,IF(AND(O44&lt;=14,O44&gt;7),1.25,IF(AND(O44&lt;=7,O44&gt;3.5),1,IF(AND(O44&lt;=3.5,O44&gt;1.7),0.75,IF(AND(O44&lt;=1.7,O44&gt;0),0.5,IF(AND(O44&lt;=0,O44&gt;-1),0)))))))))))</f>
        <v>#N/A</v>
      </c>
      <c r="Q44" s="61">
        <f>SUM('FU Distribution'!AH106:$AH$109)+IF('FU Distribution'!$D$112=3,'FU Distribution'!$D$114,0)</f>
        <v>0</v>
      </c>
      <c r="R44" s="96" t="e">
        <f>FORECAST((SUM(Q44:Q1039)),INDEX($B$3:$B$45,MATCH((SUM(Q44:Q1039)),$A$3:$A$45,1)):INDEX($B$3:$B$45,MATCH((SUM(Q44:Q1039)),$A$3:$A$45,1)+1),INDEX($A$3:$A$45,MATCH((SUM(Q44:Q1039)),$A$3:$A$45,1)):INDEX($A$3:$A$45,MATCH((SUM(Q44:Q1039)),$A$3:$A$45,1)+1))</f>
        <v>#N/A</v>
      </c>
      <c r="S44" s="97" t="e">
        <f t="shared" ref="S44:S45" si="152">IF(AND(R44&lt;=750,R44&gt;250),6,IF(AND(R44&lt;=250,R44&gt;120),4,IF(AND(R44&lt;=120,R44&gt;75),3,IF(AND(R44&lt;=75,R44&gt;40),2.5,IF(AND(R44&lt;=40,R44&gt;20),2,IF(AND(R44&lt;=20,R44&gt;14),1.5,IF(AND(R44&lt;=14,R44&gt;7),1.25,IF(AND(R44&lt;=7,R44&gt;3.5),1,IF(AND(R44&lt;=3.5,R44&gt;1.7),0.75,IF(AND(R44&lt;=1.7,R44&gt;0),0.5,IF(AND(R44&lt;=0,R44&gt;-1),0)))))))))))</f>
        <v>#N/A</v>
      </c>
      <c r="T44" s="61">
        <f>SUM('FU Distribution'!AI106:$AI$109)</f>
        <v>0</v>
      </c>
      <c r="U44" s="96" t="e">
        <f>FORECAST((SUM(T44:T1039)),INDEX($B$3:$B$45,MATCH((SUM(T44:T1039)),$A$3:$A$45,1)):INDEX($B$3:$B$45,MATCH((SUM(T44:T1039)),$A$3:$A$45,1)+1),INDEX($A$3:$A$45,MATCH((SUM(T44:T1039)),$A$3:$A$45,1)):INDEX($A$3:$A$45,MATCH((SUM(T44:T1039)),$A$3:$A$45,1)+1))</f>
        <v>#N/A</v>
      </c>
      <c r="V44" s="97" t="e">
        <f t="shared" si="0"/>
        <v>#N/A</v>
      </c>
      <c r="W44" s="75">
        <f>SUM('FU Distribution'!AK106:$AK$109)+IF('FU Distribution'!$D$112=4,'FU Distribution'!$D$114,0)</f>
        <v>0</v>
      </c>
      <c r="X44" s="96" t="e">
        <f>FORECAST((SUM(W44:W1039)),INDEX($B$3:$B$45,MATCH((SUM(W44:W1039)),$A$3:$A$45,1)):INDEX($B$3:$B$45,MATCH((SUM(W44:W1039)),$A$3:$A$45,1)+1),INDEX($A$3:$A$45,MATCH((SUM(W44:W1039)),$A$3:$A$45,1)):INDEX($A$3:$A$45,MATCH((SUM(W44:W1039)),$A$3:$A$45,1)+1))</f>
        <v>#N/A</v>
      </c>
      <c r="Y44" s="97" t="e">
        <f t="shared" si="1"/>
        <v>#N/A</v>
      </c>
      <c r="Z44" s="75">
        <f>SUM('FU Distribution'!AL106:$AL$109)</f>
        <v>0</v>
      </c>
      <c r="AA44" s="96" t="e">
        <f>FORECAST((SUM(Z44:Z1039)),INDEX($B$3:$B$45,MATCH((SUM(Z44:Z1039)),$A$3:$A$45,1)):INDEX($B$3:$B$45,MATCH((SUM(Z44:Z1039)),$A$3:$A$45,1)+1),INDEX($A$3:$A$45,MATCH((SUM(Z44:Z1039)),$A$3:$A$45,1)):INDEX($A$3:$A$45,MATCH((SUM(Z44:Z1039)),$A$3:$A$45,1)+1))</f>
        <v>#N/A</v>
      </c>
      <c r="AB44" s="97" t="e">
        <f t="shared" ref="AB44:AB45" si="153">IF(AND(AA44&lt;=750,AA44&gt;250),6,IF(AND(AA44&lt;=250,AA44&gt;120),4,IF(AND(AA44&lt;=120,AA44&gt;75),3,IF(AND(AA44&lt;=75,AA44&gt;40),2.5,IF(AND(AA44&lt;=40,AA44&gt;20),2,IF(AND(AA44&lt;=20,AA44&gt;14),1.5,IF(AND(AA44&lt;=14,AA44&gt;7),1.25,IF(AND(AA44&lt;=7,AA44&gt;3.5),1,IF(AND(AA44&lt;=3.5,AA44&gt;1.7),0.75,IF(AND(AA44&lt;=1.7,AA44&gt;0),0.5,IF(AND(AA44&lt;=0,AA44&gt;-1),0)))))))))))</f>
        <v>#N/A</v>
      </c>
      <c r="AC44" s="61">
        <f>SUM('FU Distribution'!AN106:$AN$109)+IF('FU Distribution'!$D$112=5,'FU Distribution'!$D$114,0)</f>
        <v>0</v>
      </c>
      <c r="AD44" s="96" t="e">
        <f>FORECAST((SUM(AC44:AC1039)),INDEX($B$3:$B$45,MATCH((SUM(AC44:AC1039)),$A$3:$A$45,1)):INDEX($B$3:$B$45,MATCH((SUM(AC44:AC1039)),$A$3:$A$45,1)+1),INDEX($A$3:$A$45,MATCH((SUM(AC44:AC1039)),$A$3:$A$45,1)):INDEX($A$3:$A$45,MATCH((SUM(AC44:AC1039)),$A$3:$A$45,1)+1))</f>
        <v>#N/A</v>
      </c>
      <c r="AE44" s="97" t="e">
        <f t="shared" ref="AE44:AE45" si="154">IF(AND(AD44&lt;=750,AD44&gt;250),6,IF(AND(AD44&lt;=250,AD44&gt;120),4,IF(AND(AD44&lt;=120,AD44&gt;75),3,IF(AND(AD44&lt;=75,AD44&gt;40),2.5,IF(AND(AD44&lt;=40,AD44&gt;20),2,IF(AND(AD44&lt;=20,AD44&gt;14),1.5,IF(AND(AD44&lt;=14,AD44&gt;7),1.25,IF(AND(AD44&lt;=7,AD44&gt;3.5),1,IF(AND(AD44&lt;=3.5,AD44&gt;1.7),0.75,IF(AND(AD44&lt;=1.7,AD44&gt;0),0.5,IF(AND(AD44&lt;=0,AD44&gt;-1),0)))))))))))</f>
        <v>#N/A</v>
      </c>
      <c r="AF44" s="61">
        <f>SUM('FU Distribution'!AO106:$AO$109)</f>
        <v>0</v>
      </c>
      <c r="AG44" s="96" t="e">
        <f>FORECAST((SUM(AF44:AF1039)),INDEX($B$3:$B$45,MATCH((SUM(AF44:AF1039)),$A$3:$A$45,1)):INDEX($B$3:$B$45,MATCH((SUM(AF44:AF1039)),$A$3:$A$45,1)+1),INDEX($A$3:$A$45,MATCH((SUM(AF44:AF1039)),$A$3:$A$45,1)):INDEX($A$3:$A$45,MATCH((SUM(AF44:AF1039)),$A$3:$A$45,1)+1))</f>
        <v>#N/A</v>
      </c>
      <c r="AH44" s="97" t="e">
        <f t="shared" ref="AH44:AH45" si="155">IF(AND(AG44&lt;=750,AG44&gt;250),6,IF(AND(AG44&lt;=250,AG44&gt;120),4,IF(AND(AG44&lt;=120,AG44&gt;75),3,IF(AND(AG44&lt;=75,AG44&gt;40),2.5,IF(AND(AG44&lt;=40,AG44&gt;20),2,IF(AND(AG44&lt;=20,AG44&gt;14),1.5,IF(AND(AG44&lt;=14,AG44&gt;7),1.25,IF(AND(AG44&lt;=7,AG44&gt;3.5),1,IF(AND(AG44&lt;=3.5,AG44&gt;1.7),0.75,IF(AND(AG44&lt;=1.7,AG44&gt;0),0.5,IF(AND(AG44&lt;=0,AG44&gt;-1),0)))))))))))</f>
        <v>#N/A</v>
      </c>
      <c r="AI44" s="75">
        <f>SUM('FU Distribution'!AQ106:$AQ$109)+IF('FU Distribution'!$D$112=6,'FU Distribution'!$D$114,0)</f>
        <v>0</v>
      </c>
      <c r="AJ44" s="96" t="e">
        <f>FORECAST((SUM(AI44:AI1039)),INDEX($B$3:$B$45,MATCH((SUM(AI44:AI1039)),$A$3:$A$45,1)):INDEX($B$3:$B$45,MATCH((SUM(AI44:AI1039)),$A$3:$A$45,1)+1),INDEX($A$3:$A$45,MATCH((SUM(AI44:AI1039)),$A$3:$A$45,1)):INDEX($A$3:$A$45,MATCH((SUM(AI44:AI1039)),$A$3:$A$45,1)+1))</f>
        <v>#N/A</v>
      </c>
      <c r="AK44" s="97" t="e">
        <f t="shared" ref="AK44:AK45" si="156">IF(AND(AJ44&lt;=750,AJ44&gt;250),6,IF(AND(AJ44&lt;=250,AJ44&gt;120),4,IF(AND(AJ44&lt;=120,AJ44&gt;75),3,IF(AND(AJ44&lt;=75,AJ44&gt;40),2.5,IF(AND(AJ44&lt;=40,AJ44&gt;20),2,IF(AND(AJ44&lt;=20,AJ44&gt;14),1.5,IF(AND(AJ44&lt;=14,AJ44&gt;7),1.25,IF(AND(AJ44&lt;=7,AJ44&gt;3.5),1,IF(AND(AJ44&lt;=3.5,AJ44&gt;1.7),0.75,IF(AND(AJ44&lt;=1.7,AJ44&gt;0),0.5,IF(AND(AJ44&lt;=0,AJ44&gt;-1),0)))))))))))</f>
        <v>#N/A</v>
      </c>
      <c r="AL44" s="75">
        <f>SUM('FU Distribution'!AR106:$AR$109)</f>
        <v>0</v>
      </c>
      <c r="AM44" s="96" t="e">
        <f>FORECAST((SUM(AL44:AL1039)),INDEX($B$3:$B$45,MATCH((SUM(AL44:AL1039)),$A$3:$A$45,1)):INDEX($B$3:$B$45,MATCH((SUM(AL44:AL1039)),$A$3:$A$45,1)+1),INDEX($A$3:$A$45,MATCH((SUM(AL44:AL1039)),$A$3:$A$45,1)):INDEX($A$3:$A$45,MATCH((SUM(AL44:AL1039)),$A$3:$A$45,1)+1))</f>
        <v>#N/A</v>
      </c>
      <c r="AN44" s="97" t="e">
        <f t="shared" ref="AN44:AN45" si="157">IF(AND(AM44&lt;=750,AM44&gt;250),6,IF(AND(AM44&lt;=250,AM44&gt;120),4,IF(AND(AM44&lt;=120,AM44&gt;75),3,IF(AND(AM44&lt;=75,AM44&gt;40),2.5,IF(AND(AM44&lt;=40,AM44&gt;20),2,IF(AND(AM44&lt;=20,AM44&gt;14),1.5,IF(AND(AM44&lt;=14,AM44&gt;7),1.25,IF(AND(AM44&lt;=7,AM44&gt;3.5),1,IF(AND(AM44&lt;=3.5,AM44&gt;1.7),0.75,IF(AND(AM44&lt;=1.7,AM44&gt;0),0.5,IF(AND(AM44&lt;=0,AM44&gt;-1),0)))))))))))</f>
        <v>#N/A</v>
      </c>
      <c r="AO44" s="61">
        <f>SUM('FU Distribution'!AT106:$AT$109)+IF('FU Distribution'!$D$112=7,'FU Distribution'!$D$114,0)</f>
        <v>0</v>
      </c>
      <c r="AP44" s="96" t="e">
        <f>FORECAST((SUM(AO44:AO1039)),INDEX($B$3:$B$45,MATCH((SUM(AO44:AO1039)),$A$3:$A$45,1)):INDEX($B$3:$B$45,MATCH((SUM(AO44:AO1039)),$A$3:$A$45,1)+1),INDEX($A$3:$A$45,MATCH((SUM(AO44:AO1039)),$A$3:$A$45,1)):INDEX($A$3:$A$45,MATCH((SUM(AO44:AO1039)),$A$3:$A$45,1)+1))</f>
        <v>#N/A</v>
      </c>
      <c r="AQ44" s="97" t="e">
        <f t="shared" ref="AQ44:AQ45" si="158">IF(AND(AP44&lt;=750,AP44&gt;250),6,IF(AND(AP44&lt;=250,AP44&gt;120),4,IF(AND(AP44&lt;=120,AP44&gt;75),3,IF(AND(AP44&lt;=75,AP44&gt;40),2.5,IF(AND(AP44&lt;=40,AP44&gt;20),2,IF(AND(AP44&lt;=20,AP44&gt;14),1.5,IF(AND(AP44&lt;=14,AP44&gt;7),1.25,IF(AND(AP44&lt;=7,AP44&gt;3.5),1,IF(AND(AP44&lt;=3.5,AP44&gt;1.7),0.75,IF(AND(AP44&lt;=1.7,AP44&gt;0),0.5,IF(AND(AP44&lt;=0,AP44&gt;-1),0)))))))))))</f>
        <v>#N/A</v>
      </c>
      <c r="AR44" s="61">
        <f>SUM('FU Distribution'!AU106:$AU$109)</f>
        <v>0</v>
      </c>
      <c r="AS44" s="96" t="e">
        <f>FORECAST((SUM(AR44:AR1039)),INDEX($B$3:$B$45,MATCH((SUM(AR44:AR1039)),$A$3:$A$45,1)):INDEX($B$3:$B$45,MATCH((SUM(AR44:AR1039)),$A$3:$A$45,1)+1),INDEX($A$3:$A$45,MATCH((SUM(AR44:AR1039)),$A$3:$A$45,1)):INDEX($A$3:$A$45,MATCH((SUM(AR44:AR1039)),$A$3:$A$45,1)+1))</f>
        <v>#N/A</v>
      </c>
      <c r="AT44" s="97" t="e">
        <f t="shared" ref="AT44:AT45" si="159">IF(AND(AS44&lt;=750,AS44&gt;250),6,IF(AND(AS44&lt;=250,AS44&gt;120),4,IF(AND(AS44&lt;=120,AS44&gt;75),3,IF(AND(AS44&lt;=75,AS44&gt;40),2.5,IF(AND(AS44&lt;=40,AS44&gt;20),2,IF(AND(AS44&lt;=20,AS44&gt;14),1.5,IF(AND(AS44&lt;=14,AS44&gt;7),1.25,IF(AND(AS44&lt;=7,AS44&gt;3.5),1,IF(AND(AS44&lt;=3.5,AS44&gt;1.7),0.75,IF(AND(AS44&lt;=1.7,AS44&gt;0),0.5,IF(AND(AS44&lt;=0,AS44&gt;-1),0)))))))))))</f>
        <v>#N/A</v>
      </c>
      <c r="AU44" s="61">
        <f>SUM('FU Distribution'!AW106:$AW$109)+IF('FU Distribution'!$D$112=8,'FU Distribution'!$D$114,0)</f>
        <v>0</v>
      </c>
      <c r="AV44" s="98" t="e">
        <f>FORECAST(AU44,INDEX($B$3:$B$45,MATCH(AU44,$A$3:$A$45,1)):INDEX($B$3:$B$45,MATCH(AU44,$A$3:$A$45,1)+1),INDEX($A$3:$A$45,MATCH(AU44,$A$3:$A$45,1)):INDEX($A$3:$A$45,MATCH(AU44,$A$3:$A$45,1)+1))</f>
        <v>#N/A</v>
      </c>
      <c r="AW44" s="97" t="e">
        <f t="shared" ref="AW44:AW45" si="160">IF(AND(AV44&lt;=750,AV44&gt;250),6,IF(AND(AV44&lt;=250,AV44&gt;120),4,IF(AND(AV44&lt;=120,AV44&gt;75),3,IF(AND(AV44&lt;=75,AV44&gt;40),2.5,IF(AND(AV44&lt;=40,AV44&gt;20),2,IF(AND(AV44&lt;=20,AV44&gt;14),1.5,IF(AND(AV44&lt;=14,AV44&gt;7),1.25,IF(AND(AV44&lt;=7,AV44&gt;3.5),1,IF(AND(AV44&lt;=3.5,AV44&gt;1.7),0.75,IF(AND(AV44&lt;=1.7,AV44&gt;0),0.5,IF(AND(AV44&lt;=0,AV44&gt;-1),0)))))))))))</f>
        <v>#N/A</v>
      </c>
      <c r="AX44" s="61">
        <f>SUM('FU Distribution'!AX106:$AX$109)</f>
        <v>0</v>
      </c>
      <c r="AY44" s="98" t="e">
        <f>FORECAST(AX44,INDEX($B$3:$B$45,MATCH(AX44,$A$3:$A$45,1)):INDEX($B$3:$B$45,MATCH(AX44,$A$3:$A$45,1)+1),INDEX($A$3:$A$45,MATCH(AX44,$A$3:$A$45,1)):INDEX($A$3:$A$45,MATCH(AX44,$A$3:$A$45,1)+1))</f>
        <v>#N/A</v>
      </c>
      <c r="AZ44" s="97" t="e">
        <f t="shared" ref="AZ44:AZ45" si="161">IF(AND(AY44&lt;=750,AY44&gt;250),6,IF(AND(AY44&lt;=250,AY44&gt;120),4,IF(AND(AY44&lt;=120,AY44&gt;75),3,IF(AND(AY44&lt;=75,AY44&gt;40),2.5,IF(AND(AY44&lt;=40,AY44&gt;20),2,IF(AND(AY44&lt;=20,AY44&gt;14),1.5,IF(AND(AY44&lt;=14,AY44&gt;7),1.25,IF(AND(AY44&lt;=7,AY44&gt;3.5),1,IF(AND(AY44&lt;=3.5,AY44&gt;1.7),0.75,IF(AND(AY44&lt;=1.7,AY44&gt;0),0.5,IF(AND(AY44&lt;=0,AY44&gt;-1),0)))))))))))</f>
        <v>#N/A</v>
      </c>
      <c r="BA44" s="75">
        <f>SUM('FU Distribution'!AZ106:$AZ$109)+IF('FU Distribution'!$D$112=9,'FU Distribution'!$D$114,0)</f>
        <v>0</v>
      </c>
      <c r="BB44" s="76" t="e">
        <f>FORECAST((SUM(BA44:BA1039)),INDEX($B$3:$B$45,MATCH((SUM(BA44:BA1039)),$A$3:$A$45,1)):INDEX($B$3:$B$45,MATCH((SUM(BA44:BA1039)),$A$3:$A$45,1)+1),INDEX($A$3:$A$45,MATCH((SUM(BA44:BA1039)),$A$3:$A$45,1)):INDEX($A$3:$A$45,MATCH((SUM(BA44:BA1039)),$A$3:$A$45,1)+1))</f>
        <v>#N/A</v>
      </c>
      <c r="BC44" s="77" t="e">
        <f t="shared" si="3"/>
        <v>#N/A</v>
      </c>
      <c r="BD44" s="75">
        <f>SUM('FU Distribution'!BA106:$BA$109)</f>
        <v>0</v>
      </c>
      <c r="BE44" s="76" t="e">
        <f>FORECAST((SUM(BD44:BD1039)),INDEX($B$3:$B$45,MATCH((SUM(BD44:BD1039)),$A$3:$A$45,1)):INDEX($B$3:$B$45,MATCH((SUM(BD44:BD1039)),$A$3:$A$45,1)+1),INDEX($A$3:$A$45,MATCH((SUM(BD44:BD1039)),$A$3:$A$45,1)):INDEX($A$3:$A$45,MATCH((SUM(BD44:BD1039)),$A$3:$A$45,1)+1))</f>
        <v>#N/A</v>
      </c>
      <c r="BF44" s="77" t="e">
        <f t="shared" si="4"/>
        <v>#N/A</v>
      </c>
      <c r="BG44" s="61">
        <f>SUM('FU Distribution'!BC106:$BC$109)+IF('FU Distribution'!$D$112=10,'FU Distribution'!$D$114,0)</f>
        <v>0</v>
      </c>
      <c r="BH44" s="62" t="e">
        <f>FORECAST((SUM(BG44:BG1039)),INDEX($B$3:$B$45,MATCH((SUM(BG44:BG1039)),$A$3:$A$45,1)):INDEX($B$3:$B$45,MATCH((SUM(BG44:BG1039)),$A$3:$A$45,1)+1),INDEX($A$3:$A$45,MATCH((SUM(BG44:BG1039)),$A$3:$A$45,1)):INDEX($A$3:$A$45,MATCH((SUM(BG44:BG1039)),$A$3:$A$45,1)+1))</f>
        <v>#N/A</v>
      </c>
      <c r="BI44" s="74" t="e">
        <f t="shared" si="5"/>
        <v>#N/A</v>
      </c>
      <c r="BJ44" s="61">
        <f>SUM('FU Distribution'!BD106:$BD$109)</f>
        <v>0</v>
      </c>
      <c r="BK44" s="62" t="e">
        <f>FORECAST((SUM(BJ44:BJ1039)),INDEX($B$3:$B$45,MATCH((SUM(BJ44:BJ1039)),$A$3:$A$45,1)):INDEX($B$3:$B$45,MATCH((SUM(BJ44:BJ1039)),$A$3:$A$45,1)+1),INDEX($A$3:$A$45,MATCH((SUM(BJ44:BJ1039)),$A$3:$A$45,1)):INDEX($A$3:$A$45,MATCH((SUM(BJ44:BJ1039)),$A$3:$A$45,1)+1))</f>
        <v>#N/A</v>
      </c>
      <c r="BL44" s="74" t="e">
        <f t="shared" si="6"/>
        <v>#N/A</v>
      </c>
      <c r="BM44" s="75">
        <f>SUM('FU Distribution'!BF106:$BF$109)+IF('FU Distribution'!$D$112=11,'FU Distribution'!$D$114,0)</f>
        <v>0</v>
      </c>
      <c r="BN44" s="76" t="e">
        <f>FORECAST((SUM(BM44:BM1039)),INDEX($B$3:$B$45,MATCH((SUM(BM44:BM1039)),$A$3:$A$45,1)):INDEX($B$3:$B$45,MATCH((SUM(BM44:BM1039)),$A$3:$A$45,1)+1),INDEX($A$3:$A$45,MATCH((SUM(BM44:BM1039)),$A$3:$A$45,1)):INDEX($A$3:$A$45,MATCH((SUM(BM44:BM1039)),$A$3:$A$45,1)+1))</f>
        <v>#N/A</v>
      </c>
      <c r="BO44" s="77" t="e">
        <f t="shared" si="7"/>
        <v>#N/A</v>
      </c>
      <c r="BP44" s="75">
        <f>SUM('FU Distribution'!BG106:$BG$109)</f>
        <v>0</v>
      </c>
      <c r="BQ44" s="76" t="e">
        <f>FORECAST((SUM(BP44:BP1039)),INDEX($B$3:$B$45,MATCH((SUM(BP44:BP1039)),$A$3:$A$45,1)):INDEX($B$3:$B$45,MATCH((SUM(BP44:BP1039)),$A$3:$A$45,1)+1),INDEX($A$3:$A$45,MATCH((SUM(BP44:BP1039)),$A$3:$A$45,1)):INDEX($A$3:$A$45,MATCH((SUM(BP44:BP1039)),$A$3:$A$45,1)+1))</f>
        <v>#N/A</v>
      </c>
      <c r="BR44" s="77" t="e">
        <f t="shared" si="8"/>
        <v>#N/A</v>
      </c>
      <c r="BS44" s="61">
        <f>SUM('FU Distribution'!BI106:$BI$109)+IF('FU Distribution'!$D$112=12,'FU Distribution'!$D$114,0)</f>
        <v>0</v>
      </c>
      <c r="BT44" s="62" t="e">
        <f>FORECAST(BS44,INDEX($B$3:$B$45,MATCH(BS44,$A$3:$A$45,1)):INDEX($B$3:$B$45,MATCH(BS44,$A$3:$A$45,1)+1),INDEX($A$3:$A$45,MATCH(BS44,$A$3:$A$45,1)):INDEX($A$3:$A$45,MATCH(BS44,$A$3:$A$45,1)+1))</f>
        <v>#N/A</v>
      </c>
      <c r="BU44" s="74" t="e">
        <f t="shared" si="9"/>
        <v>#N/A</v>
      </c>
      <c r="BV44" s="61">
        <f>SUM('FU Distribution'!BJ106:$BJ$109)</f>
        <v>0</v>
      </c>
      <c r="BW44" s="62" t="e">
        <f>FORECAST(BV44,INDEX($B$3:$B$45,MATCH(BV44,$A$3:$A$45,1)):INDEX($B$3:$B$45,MATCH(BV44,$A$3:$A$45,1)+1),INDEX($A$3:$A$45,MATCH(BV44,$A$3:$A$45,1)):INDEX($A$3:$A$45,MATCH(BV44,$A$3:$A$45,1)+1))</f>
        <v>#N/A</v>
      </c>
      <c r="BX44" s="74" t="e">
        <f t="shared" si="10"/>
        <v>#N/A</v>
      </c>
      <c r="BY44" s="75">
        <f>SUM('FU Distribution'!BL106:$BL$109)+IF('FU Distribution'!$D$112=13,'FU Distribution'!$D$114,0)</f>
        <v>0</v>
      </c>
      <c r="BZ44" s="76" t="e">
        <f>FORECAST(BY44,INDEX($B$3:$B$45,MATCH(BY44,$A$3:$A$45,1)):INDEX($B$3:$B$45,MATCH(BY44,$A$3:$A$45,1)+1),INDEX($A$3:$A$45,MATCH(BY44,$A$3:$A$45,1)):INDEX($A$3:$A$45,MATCH(BY44,$A$3:$A$45,1)+1))</f>
        <v>#N/A</v>
      </c>
      <c r="CA44" s="77" t="e">
        <f t="shared" si="11"/>
        <v>#N/A</v>
      </c>
      <c r="CB44" s="75">
        <f>SUM('FU Distribution'!BM106:$BM$109)</f>
        <v>0</v>
      </c>
      <c r="CC44" s="76" t="e">
        <f>FORECAST(CB44,INDEX($B$3:$B$45,MATCH(CB44,$A$3:$A$45,1)):INDEX($B$3:$B$45,MATCH(CB44,$A$3:$A$45,1)+1),INDEX($A$3:$A$45,MATCH(CB44,$A$3:$A$45,1)):INDEX($A$3:$A$45,MATCH(CB44,$A$3:$A$45,1)+1))</f>
        <v>#N/A</v>
      </c>
      <c r="CD44" s="77" t="e">
        <f t="shared" si="12"/>
        <v>#N/A</v>
      </c>
      <c r="CE44" s="61">
        <f>SUM('FU Distribution'!BO106:$BO$109)+IF('FU Distribution'!$D$112=13,'FU Distribution'!$D$114,0)</f>
        <v>0</v>
      </c>
      <c r="CF44" s="62" t="e">
        <f>FORECAST(CE44,INDEX($B$3:$B$45,MATCH(CE44,$A$3:$A$45,1)):INDEX($B$3:$B$45,MATCH(CE44,$A$3:$A$45,1)+1),INDEX($A$3:$A$45,MATCH(CE44,$A$3:$A$45,1)):INDEX($A$3:$A$45,MATCH(CE44,$A$3:$A$45,1)+1))</f>
        <v>#N/A</v>
      </c>
      <c r="CG44" s="74" t="e">
        <f t="shared" si="13"/>
        <v>#N/A</v>
      </c>
      <c r="CH44" s="61">
        <f>SUM('FU Distribution'!BP106:$BP$109)</f>
        <v>0</v>
      </c>
      <c r="CI44" s="62" t="e">
        <f>FORECAST(CH44,INDEX($B$3:$B$45,MATCH(CH44,$A$3:$A$45,1)):INDEX($B$3:$B$45,MATCH(CH44,$A$3:$A$45,1)+1),INDEX($A$3:$A$45,MATCH(CH44,$A$3:$A$45,1)):INDEX($A$3:$A$45,MATCH(CH44,$A$3:$A$45,1)+1))</f>
        <v>#N/A</v>
      </c>
      <c r="CJ44" s="74" t="e">
        <f t="shared" si="14"/>
        <v>#N/A</v>
      </c>
    </row>
    <row r="45" spans="1:88" ht="15.75" thickBot="1" x14ac:dyDescent="0.3">
      <c r="A45" s="2">
        <v>3000</v>
      </c>
      <c r="B45" s="2">
        <v>430</v>
      </c>
      <c r="C45" s="63"/>
      <c r="D45" s="52">
        <v>41</v>
      </c>
      <c r="E45" s="193">
        <f>SUM('FU Distribution'!AB107:$AB$109)+IF('FU Distribution'!$D$112=1,'FU Distribution'!$D$114,0)</f>
        <v>0</v>
      </c>
      <c r="F45" s="194" t="e">
        <f>FORECAST((SUM(E45:E1039)),INDEX($B$3:$B$45,MATCH((SUM(E45:E1039)),$A$3:$A$45,1)):INDEX($B$3:$B$45,MATCH((SUM(E45:E1039)),$A$3:$A$45,1)+1),INDEX($A$3:$A$45,MATCH((SUM(E45:E1039)),$A$3:$A$45,1)):INDEX($A$3:$A$45,MATCH((SUM(E45:E1039)),$A$3:$A$45,1)+1))</f>
        <v>#N/A</v>
      </c>
      <c r="G45" s="195" t="e">
        <f t="shared" si="149"/>
        <v>#N/A</v>
      </c>
      <c r="H45" s="193">
        <f>SUM('FU Distribution'!AC107:$AC$109)</f>
        <v>0</v>
      </c>
      <c r="I45" s="194" t="e">
        <f>FORECAST((SUM(H45:H1040)),INDEX($B$3:$B$45,MATCH((SUM(H45:H1040)),$A$3:$A$45,1)):INDEX($B$3:$B$45,MATCH((SUM(H45:H1040)),$A$3:$A$45,1)+1),INDEX($A$3:$A$45,MATCH((SUM(H45:H1040)),$A$3:$A$45,1)):INDEX($A$3:$A$45,MATCH((SUM(H45:H1040)),$A$3:$A$45,1)+1))</f>
        <v>#N/A</v>
      </c>
      <c r="J45" s="195" t="e">
        <f t="shared" si="150"/>
        <v>#N/A</v>
      </c>
      <c r="K45" s="196">
        <f>SUM('FU Distribution'!AE107:$AE$109)+IF('FU Distribution'!$D$112=2,'FU Distribution'!$D$114,0)</f>
        <v>0</v>
      </c>
      <c r="L45" s="197" t="e">
        <f>FORECAST((SUM(K45:K1040)),INDEX($B$3:$B$45,MATCH((SUM(K45:K1040)),$A$3:$A$45,1)):INDEX($B$3:$B$45,MATCH((SUM(K45:K1040)),$A$3:$A$45,1)+1),INDEX($A$3:$A$45,MATCH((SUM(K45:K1040)),$A$3:$A$45,1)):INDEX($A$3:$A$45,MATCH((SUM(K45:K1040)),$A$3:$A$45,1)+1))</f>
        <v>#N/A</v>
      </c>
      <c r="M45" s="198" t="e">
        <f>IF(AND(L45&lt;=750,L45&gt;250),6,IF(AND(L45&lt;=250,L45&gt;120),4,IF(AND(L45&lt;=120,L45&gt;75),3,IF(AND(L45&lt;=75,L45&gt;40),2.5,IF(AND(L45&lt;=40,L45&gt;20),2,IF(AND(L45&lt;=20,L45&gt;14),1.5,IF(AND(L45&lt;=14,L45&gt;7),1.25,IF(AND(L45&lt;=7,L45&gt;3.5),1,IF(AND(L45&lt;=3.5,L45&gt;1.7),0.75,IF(AND(L45&lt;=1.7,L45&gt;0),0.5,IF(AND(L45&lt;=0,L45&gt;-1),0)))))))))))</f>
        <v>#N/A</v>
      </c>
      <c r="N45" s="196">
        <f>SUM('FU Distribution'!AF107:$AF$109)</f>
        <v>0</v>
      </c>
      <c r="O45" s="197" t="e">
        <f>FORECAST((SUM(N45:N1040)),INDEX($B$3:$B$45,MATCH((SUM(N45:N1040)),$A$3:$A$45,1)):INDEX($B$3:$B$45,MATCH((SUM(N45:N1040)),$A$3:$A$45,1)+1),INDEX($A$3:$A$45,MATCH((SUM(N45:N1040)),$A$3:$A$45,1)):INDEX($A$3:$A$45,MATCH((SUM(N45:N1040)),$A$3:$A$45,1)+1))</f>
        <v>#N/A</v>
      </c>
      <c r="P45" s="198" t="e">
        <f t="shared" si="151"/>
        <v>#N/A</v>
      </c>
      <c r="Q45" s="193">
        <f>SUM('FU Distribution'!AH107:$AH$109)+IF('FU Distribution'!$D$112=3,'FU Distribution'!$D$114,0)</f>
        <v>0</v>
      </c>
      <c r="R45" s="194" t="e">
        <f>FORECAST((SUM(Q45:Q1040)),INDEX($B$3:$B$45,MATCH((SUM(Q45:Q1040)),$A$3:$A$45,1)):INDEX($B$3:$B$45,MATCH((SUM(Q45:Q1040)),$A$3:$A$45,1)+1),INDEX($A$3:$A$45,MATCH((SUM(Q45:Q1040)),$A$3:$A$45,1)):INDEX($A$3:$A$45,MATCH((SUM(Q45:Q1040)),$A$3:$A$45,1)+1))</f>
        <v>#N/A</v>
      </c>
      <c r="S45" s="195" t="e">
        <f t="shared" si="152"/>
        <v>#N/A</v>
      </c>
      <c r="T45" s="193">
        <f>SUM('FU Distribution'!AI107:$AI$109)</f>
        <v>0</v>
      </c>
      <c r="U45" s="194" t="e">
        <f>FORECAST((SUM(T45:T1040)),INDEX($B$3:$B$45,MATCH((SUM(T45:T1040)),$A$3:$A$45,1)):INDEX($B$3:$B$45,MATCH((SUM(T45:T1040)),$A$3:$A$45,1)+1),INDEX($A$3:$A$45,MATCH((SUM(T45:T1040)),$A$3:$A$45,1)):INDEX($A$3:$A$45,MATCH((SUM(T45:T1040)),$A$3:$A$45,1)+1))</f>
        <v>#N/A</v>
      </c>
      <c r="V45" s="195" t="e">
        <f t="shared" si="0"/>
        <v>#N/A</v>
      </c>
      <c r="W45" s="196">
        <f>SUM('FU Distribution'!AK107:$AK$109)+IF('FU Distribution'!$D$112=4,'FU Distribution'!$D$114,0)</f>
        <v>0</v>
      </c>
      <c r="X45" s="197" t="e">
        <f>FORECAST((SUM(W45:W1040)),INDEX($B$3:$B$45,MATCH((SUM(W45:W1040)),$A$3:$A$45,1)):INDEX($B$3:$B$45,MATCH((SUM(W45:W1040)),$A$3:$A$45,1)+1),INDEX($A$3:$A$45,MATCH((SUM(W45:W1040)),$A$3:$A$45,1)):INDEX($A$3:$A$45,MATCH((SUM(W45:W1040)),$A$3:$A$45,1)+1))</f>
        <v>#N/A</v>
      </c>
      <c r="Y45" s="198" t="e">
        <f t="shared" si="1"/>
        <v>#N/A</v>
      </c>
      <c r="Z45" s="196">
        <f>SUM('FU Distribution'!AL107:$AL$109)</f>
        <v>0</v>
      </c>
      <c r="AA45" s="197" t="e">
        <f>FORECAST((SUM(Z45:Z1040)),INDEX($B$3:$B$45,MATCH((SUM(Z45:Z1040)),$A$3:$A$45,1)):INDEX($B$3:$B$45,MATCH((SUM(Z45:Z1040)),$A$3:$A$45,1)+1),INDEX($A$3:$A$45,MATCH((SUM(Z45:Z1040)),$A$3:$A$45,1)):INDEX($A$3:$A$45,MATCH((SUM(Z45:Z1040)),$A$3:$A$45,1)+1))</f>
        <v>#N/A</v>
      </c>
      <c r="AB45" s="198" t="e">
        <f t="shared" si="153"/>
        <v>#N/A</v>
      </c>
      <c r="AC45" s="193">
        <f>SUM('FU Distribution'!AN107:$AN$109)+IF('FU Distribution'!$D$112=5,'FU Distribution'!$D$114,0)</f>
        <v>0</v>
      </c>
      <c r="AD45" s="194" t="e">
        <f>FORECAST((SUM(AC45:AC1040)),INDEX($B$3:$B$45,MATCH((SUM(AC45:AC1040)),$A$3:$A$45,1)):INDEX($B$3:$B$45,MATCH((SUM(AC45:AC1040)),$A$3:$A$45,1)+1),INDEX($A$3:$A$45,MATCH((SUM(AC45:AC1040)),$A$3:$A$45,1)):INDEX($A$3:$A$45,MATCH((SUM(AC45:AC1040)),$A$3:$A$45,1)+1))</f>
        <v>#N/A</v>
      </c>
      <c r="AE45" s="195" t="e">
        <f t="shared" si="154"/>
        <v>#N/A</v>
      </c>
      <c r="AF45" s="193">
        <f>SUM('FU Distribution'!AO107:$AO$109)</f>
        <v>0</v>
      </c>
      <c r="AG45" s="194" t="e">
        <f>FORECAST((SUM(AF45:AF1040)),INDEX($B$3:$B$45,MATCH((SUM(AF45:AF1040)),$A$3:$A$45,1)):INDEX($B$3:$B$45,MATCH((SUM(AF45:AF1040)),$A$3:$A$45,1)+1),INDEX($A$3:$A$45,MATCH((SUM(AF45:AF1040)),$A$3:$A$45,1)):INDEX($A$3:$A$45,MATCH((SUM(AF45:AF1040)),$A$3:$A$45,1)+1))</f>
        <v>#N/A</v>
      </c>
      <c r="AH45" s="195" t="e">
        <f t="shared" si="155"/>
        <v>#N/A</v>
      </c>
      <c r="AI45" s="196">
        <f>SUM('FU Distribution'!AQ107:$AQ$109)+IF('FU Distribution'!$D$112=6,'FU Distribution'!$D$114,0)</f>
        <v>0</v>
      </c>
      <c r="AJ45" s="197" t="e">
        <f>FORECAST((SUM(AI45:AI1040)),INDEX($B$3:$B$45,MATCH((SUM(AI45:AI1040)),$A$3:$A$45,1)):INDEX($B$3:$B$45,MATCH((SUM(AI45:AI1040)),$A$3:$A$45,1)+1),INDEX($A$3:$A$45,MATCH((SUM(AI45:AI1040)),$A$3:$A$45,1)):INDEX($A$3:$A$45,MATCH((SUM(AI45:AI1040)),$A$3:$A$45,1)+1))</f>
        <v>#N/A</v>
      </c>
      <c r="AK45" s="198" t="e">
        <f t="shared" si="156"/>
        <v>#N/A</v>
      </c>
      <c r="AL45" s="196">
        <f>SUM('FU Distribution'!AR107:$AR$109)</f>
        <v>0</v>
      </c>
      <c r="AM45" s="197" t="e">
        <f>FORECAST((SUM(AL45:AL1040)),INDEX($B$3:$B$45,MATCH((SUM(AL45:AL1040)),$A$3:$A$45,1)):INDEX($B$3:$B$45,MATCH((SUM(AL45:AL1040)),$A$3:$A$45,1)+1),INDEX($A$3:$A$45,MATCH((SUM(AL45:AL1040)),$A$3:$A$45,1)):INDEX($A$3:$A$45,MATCH((SUM(AL45:AL1040)),$A$3:$A$45,1)+1))</f>
        <v>#N/A</v>
      </c>
      <c r="AN45" s="198" t="e">
        <f t="shared" si="157"/>
        <v>#N/A</v>
      </c>
      <c r="AO45" s="193">
        <f>SUM('FU Distribution'!AT107:$AT$109)+IF('FU Distribution'!$D$112=7,'FU Distribution'!$D$114,0)</f>
        <v>0</v>
      </c>
      <c r="AP45" s="194" t="e">
        <f>FORECAST((SUM(AO45:AO1040)),INDEX($B$3:$B$45,MATCH((SUM(AO45:AO1040)),$A$3:$A$45,1)):INDEX($B$3:$B$45,MATCH((SUM(AO45:AO1040)),$A$3:$A$45,1)+1),INDEX($A$3:$A$45,MATCH((SUM(AO45:AO1040)),$A$3:$A$45,1)):INDEX($A$3:$A$45,MATCH((SUM(AO45:AO1040)),$A$3:$A$45,1)+1))</f>
        <v>#N/A</v>
      </c>
      <c r="AQ45" s="195" t="e">
        <f t="shared" si="158"/>
        <v>#N/A</v>
      </c>
      <c r="AR45" s="193">
        <f>SUM('FU Distribution'!AU107:$AU$109)</f>
        <v>0</v>
      </c>
      <c r="AS45" s="194" t="e">
        <f>FORECAST((SUM(AR45:AR1040)),INDEX($B$3:$B$45,MATCH((SUM(AR45:AR1040)),$A$3:$A$45,1)):INDEX($B$3:$B$45,MATCH((SUM(AR45:AR1040)),$A$3:$A$45,1)+1),INDEX($A$3:$A$45,MATCH((SUM(AR45:AR1040)),$A$3:$A$45,1)):INDEX($A$3:$A$45,MATCH((SUM(AR45:AR1040)),$A$3:$A$45,1)+1))</f>
        <v>#N/A</v>
      </c>
      <c r="AT45" s="195" t="e">
        <f t="shared" si="159"/>
        <v>#N/A</v>
      </c>
      <c r="AU45" s="193">
        <f>SUM('FU Distribution'!AW107:$AW$109)+IF('FU Distribution'!$D$112=8,'FU Distribution'!$D$114,0)</f>
        <v>0</v>
      </c>
      <c r="AV45" s="194" t="e">
        <f>FORECAST(AU45,INDEX($B$3:$B$45,MATCH(AU45,$A$3:$A$45,1)):INDEX($B$3:$B$45,MATCH(AU45,$A$3:$A$45,1)+1),INDEX($A$3:$A$45,MATCH(AU45,$A$3:$A$45,1)):INDEX($A$3:$A$45,MATCH(AU45,$A$3:$A$45,1)+1))</f>
        <v>#N/A</v>
      </c>
      <c r="AW45" s="195" t="e">
        <f t="shared" si="160"/>
        <v>#N/A</v>
      </c>
      <c r="AX45" s="193">
        <f>SUM('FU Distribution'!AX107:$AX$109)</f>
        <v>0</v>
      </c>
      <c r="AY45" s="194" t="e">
        <f>FORECAST(AX45,INDEX($B$3:$B$45,MATCH(AX45,$A$3:$A$45,1)):INDEX($B$3:$B$45,MATCH(AX45,$A$3:$A$45,1)+1),INDEX($A$3:$A$45,MATCH(AX45,$A$3:$A$45,1)):INDEX($A$3:$A$45,MATCH(AX45,$A$3:$A$45,1)+1))</f>
        <v>#N/A</v>
      </c>
      <c r="AZ45" s="195" t="e">
        <f t="shared" si="161"/>
        <v>#N/A</v>
      </c>
      <c r="BA45" s="196">
        <f>SUM('FU Distribution'!AZ107:$AZ$109)+IF('FU Distribution'!$D$112=9,'FU Distribution'!$D$114,0)</f>
        <v>0</v>
      </c>
      <c r="BB45" s="199" t="e">
        <f>FORECAST((SUM(BA45:BA1040)),INDEX($B$3:$B$45,MATCH((SUM(BA45:BA1040)),$A$3:$A$45,1)):INDEX($B$3:$B$45,MATCH((SUM(BA45:BA1040)),$A$3:$A$45,1)+1),INDEX($A$3:$A$45,MATCH((SUM(BA45:BA1040)),$A$3:$A$45,1)):INDEX($A$3:$A$45,MATCH((SUM(BA45:BA1040)),$A$3:$A$45,1)+1))</f>
        <v>#N/A</v>
      </c>
      <c r="BC45" s="200" t="e">
        <f t="shared" si="3"/>
        <v>#N/A</v>
      </c>
      <c r="BD45" s="196">
        <f>SUM('FU Distribution'!BA107:$BA$109)</f>
        <v>0</v>
      </c>
      <c r="BE45" s="199" t="e">
        <f>FORECAST((SUM(BD45:BD1040)),INDEX($B$3:$B$45,MATCH((SUM(BD45:BD1040)),$A$3:$A$45,1)):INDEX($B$3:$B$45,MATCH((SUM(BD45:BD1040)),$A$3:$A$45,1)+1),INDEX($A$3:$A$45,MATCH((SUM(BD45:BD1040)),$A$3:$A$45,1)):INDEX($A$3:$A$45,MATCH((SUM(BD45:BD1040)),$A$3:$A$45,1)+1))</f>
        <v>#N/A</v>
      </c>
      <c r="BF45" s="200" t="e">
        <f t="shared" si="4"/>
        <v>#N/A</v>
      </c>
      <c r="BG45" s="193">
        <f>SUM('FU Distribution'!BC107:$BC$109)+IF('FU Distribution'!$D$112=10,'FU Distribution'!$D$114,0)</f>
        <v>0</v>
      </c>
      <c r="BH45" s="201" t="e">
        <f>FORECAST((SUM(BG45:BG1040)),INDEX($B$3:$B$45,MATCH((SUM(BG45:BG1040)),$A$3:$A$45,1)):INDEX($B$3:$B$45,MATCH((SUM(BG45:BG1040)),$A$3:$A$45,1)+1),INDEX($A$3:$A$45,MATCH((SUM(BG45:BG1040)),$A$3:$A$45,1)):INDEX($A$3:$A$45,MATCH((SUM(BG45:BG1040)),$A$3:$A$45,1)+1))</f>
        <v>#N/A</v>
      </c>
      <c r="BI45" s="202" t="e">
        <f t="shared" si="5"/>
        <v>#N/A</v>
      </c>
      <c r="BJ45" s="193">
        <f>SUM('FU Distribution'!BD107:$BD$109)</f>
        <v>0</v>
      </c>
      <c r="BK45" s="201" t="e">
        <f>FORECAST((SUM(BJ45:BJ1040)),INDEX($B$3:$B$45,MATCH((SUM(BJ45:BJ1040)),$A$3:$A$45,1)):INDEX($B$3:$B$45,MATCH((SUM(BJ45:BJ1040)),$A$3:$A$45,1)+1),INDEX($A$3:$A$45,MATCH((SUM(BJ45:BJ1040)),$A$3:$A$45,1)):INDEX($A$3:$A$45,MATCH((SUM(BJ45:BJ1040)),$A$3:$A$45,1)+1))</f>
        <v>#N/A</v>
      </c>
      <c r="BL45" s="202" t="e">
        <f t="shared" si="6"/>
        <v>#N/A</v>
      </c>
      <c r="BM45" s="196">
        <f>SUM('FU Distribution'!BF107:$BF$109)+IF('FU Distribution'!$D$112=11,'FU Distribution'!$D$114,0)</f>
        <v>0</v>
      </c>
      <c r="BN45" s="199" t="e">
        <f>FORECAST((SUM(BM45:BM1040)),INDEX($B$3:$B$45,MATCH((SUM(BM45:BM1040)),$A$3:$A$45,1)):INDEX($B$3:$B$45,MATCH((SUM(BM45:BM1040)),$A$3:$A$45,1)+1),INDEX($A$3:$A$45,MATCH((SUM(BM45:BM1040)),$A$3:$A$45,1)):INDEX($A$3:$A$45,MATCH((SUM(BM45:BM1040)),$A$3:$A$45,1)+1))</f>
        <v>#N/A</v>
      </c>
      <c r="BO45" s="200" t="e">
        <f t="shared" si="7"/>
        <v>#N/A</v>
      </c>
      <c r="BP45" s="196">
        <f>SUM('FU Distribution'!BG107:$BG$109)</f>
        <v>0</v>
      </c>
      <c r="BQ45" s="199" t="e">
        <f>FORECAST((SUM(BP45:BP1040)),INDEX($B$3:$B$45,MATCH((SUM(BP45:BP1040)),$A$3:$A$45,1)):INDEX($B$3:$B$45,MATCH((SUM(BP45:BP1040)),$A$3:$A$45,1)+1),INDEX($A$3:$A$45,MATCH((SUM(BP45:BP1040)),$A$3:$A$45,1)):INDEX($A$3:$A$45,MATCH((SUM(BP45:BP1040)),$A$3:$A$45,1)+1))</f>
        <v>#N/A</v>
      </c>
      <c r="BR45" s="200" t="e">
        <f t="shared" si="8"/>
        <v>#N/A</v>
      </c>
      <c r="BS45" s="193">
        <f>SUM('FU Distribution'!BI107:$BI$109)+IF('FU Distribution'!$D$112=12,'FU Distribution'!$D$114,0)</f>
        <v>0</v>
      </c>
      <c r="BT45" s="201" t="e">
        <f>FORECAST(BS45,INDEX($B$3:$B$45,MATCH(BS45,$A$3:$A$45,1)):INDEX($B$3:$B$45,MATCH(BS45,$A$3:$A$45,1)+1),INDEX($A$3:$A$45,MATCH(BS45,$A$3:$A$45,1)):INDEX($A$3:$A$45,MATCH(BS45,$A$3:$A$45,1)+1))</f>
        <v>#N/A</v>
      </c>
      <c r="BU45" s="202" t="e">
        <f t="shared" si="9"/>
        <v>#N/A</v>
      </c>
      <c r="BV45" s="193">
        <f>SUM('FU Distribution'!BJ107:$BJ$109)</f>
        <v>0</v>
      </c>
      <c r="BW45" s="201" t="e">
        <f>FORECAST(BV45,INDEX($B$3:$B$45,MATCH(BV45,$A$3:$A$45,1)):INDEX($B$3:$B$45,MATCH(BV45,$A$3:$A$45,1)+1),INDEX($A$3:$A$45,MATCH(BV45,$A$3:$A$45,1)):INDEX($A$3:$A$45,MATCH(BV45,$A$3:$A$45,1)+1))</f>
        <v>#N/A</v>
      </c>
      <c r="BX45" s="202" t="e">
        <f t="shared" si="10"/>
        <v>#N/A</v>
      </c>
      <c r="BY45" s="196">
        <f>SUM('FU Distribution'!BL107:$BL$109)+IF('FU Distribution'!$D$112=13,'FU Distribution'!$D$114,0)</f>
        <v>0</v>
      </c>
      <c r="BZ45" s="199" t="e">
        <f>FORECAST(BY45,INDEX($B$3:$B$45,MATCH(BY45,$A$3:$A$45,1)):INDEX($B$3:$B$45,MATCH(BY45,$A$3:$A$45,1)+1),INDEX($A$3:$A$45,MATCH(BY45,$A$3:$A$45,1)):INDEX($A$3:$A$45,MATCH(BY45,$A$3:$A$45,1)+1))</f>
        <v>#N/A</v>
      </c>
      <c r="CA45" s="200" t="e">
        <f t="shared" si="11"/>
        <v>#N/A</v>
      </c>
      <c r="CB45" s="196">
        <f>SUM('FU Distribution'!BM107:$BM$109)</f>
        <v>0</v>
      </c>
      <c r="CC45" s="199" t="e">
        <f>FORECAST(CB45,INDEX($B$3:$B$45,MATCH(CB45,$A$3:$A$45,1)):INDEX($B$3:$B$45,MATCH(CB45,$A$3:$A$45,1)+1),INDEX($A$3:$A$45,MATCH(CB45,$A$3:$A$45,1)):INDEX($A$3:$A$45,MATCH(CB45,$A$3:$A$45,1)+1))</f>
        <v>#N/A</v>
      </c>
      <c r="CD45" s="200" t="e">
        <f t="shared" si="12"/>
        <v>#N/A</v>
      </c>
      <c r="CE45" s="193">
        <f>SUM('FU Distribution'!BO107:$BO$109)+IF('FU Distribution'!$D$112=13,'FU Distribution'!$D$114,0)</f>
        <v>0</v>
      </c>
      <c r="CF45" s="201" t="e">
        <f>FORECAST(CE45,INDEX($B$3:$B$45,MATCH(CE45,$A$3:$A$45,1)):INDEX($B$3:$B$45,MATCH(CE45,$A$3:$A$45,1)+1),INDEX($A$3:$A$45,MATCH(CE45,$A$3:$A$45,1)):INDEX($A$3:$A$45,MATCH(CE45,$A$3:$A$45,1)+1))</f>
        <v>#N/A</v>
      </c>
      <c r="CG45" s="202" t="e">
        <f t="shared" si="13"/>
        <v>#N/A</v>
      </c>
      <c r="CH45" s="193">
        <f>SUM('FU Distribution'!BP107:$BP$109)</f>
        <v>0</v>
      </c>
      <c r="CI45" s="201" t="e">
        <f>FORECAST(CH45,INDEX($B$3:$B$45,MATCH(CH45,$A$3:$A$45,1)):INDEX($B$3:$B$45,MATCH(CH45,$A$3:$A$45,1)+1),INDEX($A$3:$A$45,MATCH(CH45,$A$3:$A$45,1)):INDEX($A$3:$A$45,MATCH(CH45,$A$3:$A$45,1)+1))</f>
        <v>#N/A</v>
      </c>
      <c r="CJ45" s="202" t="e">
        <f t="shared" si="14"/>
        <v>#N/A</v>
      </c>
    </row>
    <row r="46" spans="1:88" x14ac:dyDescent="0.25">
      <c r="C46" s="63"/>
      <c r="D46" s="64"/>
      <c r="E46" s="63"/>
      <c r="F46" s="63"/>
      <c r="G46" s="63"/>
      <c r="H46" s="63"/>
      <c r="I46" s="63"/>
      <c r="J46" s="63"/>
      <c r="K46" s="63"/>
      <c r="L46" s="65"/>
      <c r="M46" s="2"/>
    </row>
    <row r="47" spans="1:88" x14ac:dyDescent="0.25">
      <c r="C47" s="63"/>
      <c r="D47" s="64"/>
      <c r="E47" s="63"/>
      <c r="F47" s="63"/>
      <c r="G47" s="63"/>
      <c r="H47" s="63"/>
      <c r="I47" s="63"/>
      <c r="J47" s="63"/>
      <c r="K47" s="63"/>
      <c r="L47" s="65"/>
      <c r="M47" s="2"/>
    </row>
    <row r="48" spans="1:88" x14ac:dyDescent="0.25">
      <c r="C48" s="67"/>
      <c r="D48" s="67"/>
      <c r="E48" s="67"/>
      <c r="F48" s="67"/>
      <c r="G48" s="67"/>
      <c r="H48" s="67"/>
      <c r="I48" s="67"/>
      <c r="J48" s="67"/>
      <c r="K48" s="67"/>
      <c r="L48" s="72"/>
      <c r="M48" s="73"/>
    </row>
    <row r="49" spans="3:13" x14ac:dyDescent="0.25">
      <c r="C49" s="67"/>
      <c r="D49" s="67"/>
      <c r="E49" s="67"/>
      <c r="F49" s="67"/>
      <c r="G49" s="67"/>
      <c r="H49" s="67"/>
      <c r="I49" s="67"/>
      <c r="J49" s="67"/>
      <c r="K49" s="67"/>
      <c r="L49" s="72"/>
      <c r="M49" s="73"/>
    </row>
    <row r="50" spans="3:13" ht="22.5" x14ac:dyDescent="0.3">
      <c r="C50" s="67"/>
      <c r="D50" s="67"/>
      <c r="E50" s="69"/>
      <c r="F50" s="69"/>
      <c r="G50" s="69"/>
      <c r="H50" s="69"/>
      <c r="I50" s="69"/>
      <c r="J50" s="69"/>
      <c r="K50" s="67"/>
      <c r="L50" s="72"/>
      <c r="M50" s="73"/>
    </row>
    <row r="51" spans="3:13" x14ac:dyDescent="0.25">
      <c r="C51" s="67"/>
      <c r="D51" s="67"/>
      <c r="E51" s="70"/>
      <c r="F51" s="70"/>
      <c r="G51" s="70"/>
      <c r="H51" s="71"/>
      <c r="I51" s="70"/>
      <c r="J51" s="70"/>
      <c r="K51" s="67"/>
      <c r="L51" s="72"/>
      <c r="M51" s="73"/>
    </row>
    <row r="52" spans="3:13" x14ac:dyDescent="0.25">
      <c r="C52" s="67"/>
      <c r="D52" s="66"/>
      <c r="E52" s="67"/>
      <c r="F52" s="67"/>
      <c r="G52" s="67"/>
      <c r="H52" s="67"/>
      <c r="I52" s="67"/>
      <c r="J52" s="67"/>
      <c r="K52" s="67"/>
      <c r="L52" s="72"/>
      <c r="M52" s="73"/>
    </row>
    <row r="53" spans="3:13" x14ac:dyDescent="0.25">
      <c r="C53" s="67"/>
      <c r="D53" s="68"/>
      <c r="E53" s="67"/>
      <c r="F53" s="67"/>
      <c r="G53" s="67"/>
      <c r="H53" s="67"/>
      <c r="I53" s="67"/>
      <c r="J53" s="67"/>
      <c r="K53" s="67"/>
      <c r="L53" s="72"/>
      <c r="M53" s="73"/>
    </row>
    <row r="54" spans="3:13" x14ac:dyDescent="0.25">
      <c r="C54" s="67"/>
      <c r="D54" s="68"/>
      <c r="E54" s="67"/>
      <c r="F54" s="67"/>
      <c r="G54" s="67"/>
      <c r="H54" s="67"/>
      <c r="I54" s="67"/>
      <c r="J54" s="67"/>
      <c r="K54" s="67"/>
      <c r="L54" s="72"/>
      <c r="M54" s="73"/>
    </row>
    <row r="55" spans="3:13" x14ac:dyDescent="0.25">
      <c r="C55" s="67"/>
      <c r="D55" s="68"/>
      <c r="E55" s="67"/>
      <c r="F55" s="67"/>
      <c r="G55" s="67"/>
      <c r="H55" s="67"/>
      <c r="I55" s="67"/>
      <c r="J55" s="67"/>
      <c r="K55" s="67"/>
      <c r="L55" s="72"/>
      <c r="M55" s="73"/>
    </row>
    <row r="56" spans="3:13" x14ac:dyDescent="0.25">
      <c r="C56" s="67"/>
      <c r="D56" s="68"/>
      <c r="E56" s="67"/>
      <c r="F56" s="67"/>
      <c r="G56" s="67"/>
      <c r="H56" s="67"/>
      <c r="I56" s="67"/>
      <c r="J56" s="67"/>
      <c r="K56" s="67"/>
      <c r="L56" s="72"/>
      <c r="M56" s="73"/>
    </row>
    <row r="57" spans="3:13" x14ac:dyDescent="0.25">
      <c r="C57" s="67"/>
      <c r="D57" s="68"/>
      <c r="E57" s="67"/>
      <c r="F57" s="67"/>
      <c r="G57" s="67"/>
      <c r="H57" s="67"/>
      <c r="I57" s="67"/>
      <c r="J57" s="67"/>
      <c r="K57" s="67"/>
      <c r="L57" s="72"/>
      <c r="M57" s="73"/>
    </row>
    <row r="58" spans="3:13" x14ac:dyDescent="0.25">
      <c r="C58" s="67"/>
      <c r="D58" s="68"/>
      <c r="E58" s="67"/>
      <c r="F58" s="67"/>
      <c r="G58" s="67"/>
      <c r="H58" s="67"/>
      <c r="I58" s="67"/>
      <c r="J58" s="67"/>
      <c r="K58" s="67"/>
      <c r="L58" s="72"/>
      <c r="M58" s="73"/>
    </row>
    <row r="59" spans="3:13" x14ac:dyDescent="0.25">
      <c r="C59" s="67"/>
      <c r="D59" s="68"/>
      <c r="E59" s="67"/>
      <c r="F59" s="67"/>
      <c r="G59" s="67"/>
      <c r="H59" s="67"/>
      <c r="I59" s="67"/>
      <c r="J59" s="67"/>
      <c r="K59" s="67"/>
      <c r="L59" s="72"/>
      <c r="M59" s="73"/>
    </row>
    <row r="60" spans="3:13" x14ac:dyDescent="0.25">
      <c r="C60" s="67"/>
      <c r="D60" s="67"/>
      <c r="E60" s="67"/>
      <c r="F60" s="67"/>
      <c r="G60" s="67"/>
      <c r="H60" s="67"/>
      <c r="I60" s="67"/>
      <c r="J60" s="67"/>
      <c r="K60" s="67"/>
      <c r="L60" s="72"/>
      <c r="M60" s="73"/>
    </row>
    <row r="61" spans="3:13" x14ac:dyDescent="0.25">
      <c r="C61" s="67"/>
      <c r="D61" s="67"/>
      <c r="E61" s="67"/>
      <c r="F61" s="67"/>
      <c r="G61" s="67"/>
      <c r="H61" s="67"/>
      <c r="I61" s="67"/>
      <c r="J61" s="67"/>
      <c r="K61" s="67"/>
      <c r="L61" s="72"/>
      <c r="M61" s="73"/>
    </row>
    <row r="62" spans="3:13" ht="22.5" x14ac:dyDescent="0.3">
      <c r="C62" s="67"/>
      <c r="D62" s="67"/>
      <c r="E62" s="69"/>
      <c r="F62" s="69"/>
      <c r="G62" s="69"/>
      <c r="H62" s="69"/>
      <c r="I62" s="69"/>
      <c r="J62" s="69"/>
      <c r="K62" s="67"/>
      <c r="L62" s="72"/>
      <c r="M62" s="73"/>
    </row>
    <row r="63" spans="3:13" x14ac:dyDescent="0.25">
      <c r="C63" s="67"/>
      <c r="D63" s="67"/>
      <c r="E63" s="70"/>
      <c r="F63" s="70"/>
      <c r="G63" s="70"/>
      <c r="H63" s="71"/>
      <c r="I63" s="70"/>
      <c r="J63" s="70"/>
      <c r="K63" s="67"/>
      <c r="L63" s="72"/>
      <c r="M63" s="73"/>
    </row>
    <row r="64" spans="3:13" x14ac:dyDescent="0.25">
      <c r="C64" s="67"/>
      <c r="D64" s="66"/>
      <c r="E64" s="67"/>
      <c r="F64" s="67"/>
      <c r="G64" s="67"/>
      <c r="H64" s="67"/>
      <c r="I64" s="67"/>
      <c r="J64" s="67"/>
      <c r="K64" s="67"/>
      <c r="L64" s="72"/>
      <c r="M64" s="73"/>
    </row>
    <row r="65" spans="3:13" x14ac:dyDescent="0.25">
      <c r="C65" s="67"/>
      <c r="D65" s="68"/>
      <c r="E65" s="67"/>
      <c r="F65" s="67"/>
      <c r="G65" s="67"/>
      <c r="H65" s="67"/>
      <c r="I65" s="67"/>
      <c r="J65" s="67"/>
      <c r="K65" s="67"/>
      <c r="L65" s="72"/>
      <c r="M65" s="73"/>
    </row>
    <row r="66" spans="3:13" x14ac:dyDescent="0.25">
      <c r="C66" s="67"/>
      <c r="D66" s="68"/>
      <c r="E66" s="67"/>
      <c r="F66" s="67"/>
      <c r="G66" s="67"/>
      <c r="H66" s="67"/>
      <c r="I66" s="67"/>
      <c r="J66" s="67"/>
      <c r="K66" s="67"/>
      <c r="L66" s="72"/>
      <c r="M66" s="73"/>
    </row>
    <row r="67" spans="3:13" x14ac:dyDescent="0.25">
      <c r="C67" s="67"/>
      <c r="D67" s="68"/>
      <c r="E67" s="67"/>
      <c r="F67" s="67"/>
      <c r="G67" s="67"/>
      <c r="H67" s="67"/>
      <c r="I67" s="67"/>
      <c r="J67" s="67"/>
      <c r="K67" s="67"/>
      <c r="L67" s="72"/>
      <c r="M67" s="73"/>
    </row>
    <row r="68" spans="3:13" x14ac:dyDescent="0.25">
      <c r="C68" s="67"/>
      <c r="D68" s="68"/>
      <c r="E68" s="67"/>
      <c r="F68" s="67"/>
      <c r="G68" s="67"/>
      <c r="H68" s="67"/>
      <c r="I68" s="67"/>
      <c r="J68" s="67"/>
      <c r="K68" s="67"/>
      <c r="L68" s="72"/>
      <c r="M68" s="73"/>
    </row>
    <row r="69" spans="3:13" x14ac:dyDescent="0.25">
      <c r="C69" s="67"/>
      <c r="D69" s="68"/>
      <c r="E69" s="67"/>
      <c r="F69" s="67"/>
      <c r="G69" s="67"/>
      <c r="H69" s="67"/>
      <c r="I69" s="67"/>
      <c r="J69" s="67"/>
      <c r="K69" s="67"/>
      <c r="L69" s="72"/>
      <c r="M69" s="73"/>
    </row>
    <row r="70" spans="3:13" x14ac:dyDescent="0.25">
      <c r="C70" s="67"/>
      <c r="D70" s="68"/>
      <c r="E70" s="67"/>
      <c r="F70" s="67"/>
      <c r="G70" s="67"/>
      <c r="H70" s="67"/>
      <c r="I70" s="67"/>
      <c r="J70" s="67"/>
      <c r="K70" s="67"/>
      <c r="L70" s="72"/>
      <c r="M70" s="73"/>
    </row>
    <row r="71" spans="3:13" x14ac:dyDescent="0.25">
      <c r="C71" s="67"/>
      <c r="D71" s="68"/>
      <c r="E71" s="67"/>
      <c r="F71" s="67"/>
      <c r="G71" s="67"/>
      <c r="H71" s="67"/>
      <c r="I71" s="67"/>
      <c r="J71" s="67"/>
      <c r="K71" s="67"/>
      <c r="L71" s="72"/>
      <c r="M71" s="73"/>
    </row>
    <row r="72" spans="3:13" x14ac:dyDescent="0.25">
      <c r="C72" s="67"/>
      <c r="D72" s="67"/>
      <c r="E72" s="67"/>
      <c r="F72" s="67"/>
      <c r="G72" s="67"/>
      <c r="H72" s="67"/>
      <c r="I72" s="67"/>
      <c r="J72" s="67"/>
      <c r="K72" s="67"/>
      <c r="L72" s="72"/>
      <c r="M72" s="73"/>
    </row>
    <row r="73" spans="3:13" x14ac:dyDescent="0.25">
      <c r="C73" s="67"/>
      <c r="D73" s="67"/>
      <c r="E73" s="67"/>
      <c r="F73" s="67"/>
      <c r="G73" s="67"/>
      <c r="H73" s="67"/>
      <c r="I73" s="67"/>
      <c r="J73" s="67"/>
      <c r="K73" s="67"/>
      <c r="L73" s="72"/>
      <c r="M73" s="73"/>
    </row>
    <row r="74" spans="3:13" ht="22.5" x14ac:dyDescent="0.3">
      <c r="C74" s="67"/>
      <c r="D74" s="67"/>
      <c r="E74" s="69"/>
      <c r="F74" s="69"/>
      <c r="G74" s="69"/>
      <c r="H74" s="69"/>
      <c r="I74" s="69"/>
      <c r="J74" s="69"/>
      <c r="K74" s="67"/>
      <c r="L74" s="72"/>
      <c r="M74" s="73"/>
    </row>
    <row r="75" spans="3:13" x14ac:dyDescent="0.25">
      <c r="C75" s="67"/>
      <c r="D75" s="67"/>
      <c r="E75" s="70"/>
      <c r="F75" s="70"/>
      <c r="G75" s="70"/>
      <c r="H75" s="71"/>
      <c r="I75" s="70"/>
      <c r="J75" s="70"/>
      <c r="K75" s="67"/>
      <c r="L75" s="72"/>
      <c r="M75" s="73"/>
    </row>
    <row r="76" spans="3:13" x14ac:dyDescent="0.25">
      <c r="C76" s="67"/>
      <c r="D76" s="66"/>
      <c r="E76" s="67"/>
      <c r="F76" s="67"/>
      <c r="G76" s="67"/>
      <c r="H76" s="67"/>
      <c r="I76" s="67"/>
      <c r="J76" s="67"/>
      <c r="K76" s="67"/>
      <c r="L76" s="72"/>
      <c r="M76" s="73"/>
    </row>
    <row r="77" spans="3:13" x14ac:dyDescent="0.25">
      <c r="C77" s="63"/>
      <c r="D77" s="64"/>
      <c r="E77" s="63"/>
      <c r="F77" s="63"/>
      <c r="G77" s="63"/>
      <c r="H77" s="63"/>
      <c r="I77" s="63"/>
      <c r="J77" s="63"/>
      <c r="K77" s="63"/>
      <c r="L77" s="63"/>
    </row>
    <row r="78" spans="3:13" x14ac:dyDescent="0.25">
      <c r="C78" s="63"/>
      <c r="D78" s="64"/>
      <c r="E78" s="63"/>
      <c r="F78" s="63"/>
      <c r="G78" s="63"/>
      <c r="H78" s="63"/>
      <c r="I78" s="63"/>
      <c r="J78" s="63"/>
      <c r="K78" s="63"/>
      <c r="L78" s="63"/>
    </row>
    <row r="79" spans="3:13" x14ac:dyDescent="0.25">
      <c r="C79" s="63"/>
      <c r="D79" s="64"/>
      <c r="E79" s="63"/>
      <c r="F79" s="63"/>
      <c r="G79" s="63"/>
      <c r="H79" s="63"/>
      <c r="I79" s="63"/>
      <c r="J79" s="63"/>
      <c r="K79" s="63"/>
      <c r="L79" s="63"/>
    </row>
    <row r="80" spans="3:13" x14ac:dyDescent="0.25">
      <c r="C80" s="63"/>
      <c r="D80" s="64"/>
      <c r="E80" s="63"/>
      <c r="F80" s="63"/>
      <c r="G80" s="63"/>
      <c r="H80" s="63"/>
      <c r="I80" s="63"/>
      <c r="J80" s="63"/>
      <c r="K80" s="63"/>
      <c r="L80" s="63"/>
    </row>
    <row r="81" spans="3:12" x14ac:dyDescent="0.25">
      <c r="C81" s="63"/>
      <c r="D81" s="64"/>
      <c r="E81" s="63"/>
      <c r="F81" s="63"/>
      <c r="G81" s="63"/>
      <c r="H81" s="63"/>
      <c r="I81" s="63"/>
      <c r="J81" s="63"/>
      <c r="K81" s="63"/>
      <c r="L81" s="63"/>
    </row>
    <row r="82" spans="3:12" x14ac:dyDescent="0.25">
      <c r="C82" s="63"/>
      <c r="D82" s="64"/>
      <c r="E82" s="63"/>
      <c r="F82" s="63"/>
      <c r="G82" s="63"/>
      <c r="H82" s="63"/>
      <c r="I82" s="63"/>
      <c r="J82" s="63"/>
      <c r="K82" s="63"/>
      <c r="L82" s="63"/>
    </row>
    <row r="83" spans="3:12" x14ac:dyDescent="0.25">
      <c r="C83" s="63"/>
      <c r="D83" s="64"/>
      <c r="E83" s="63"/>
      <c r="F83" s="63"/>
      <c r="G83" s="63"/>
      <c r="H83" s="63"/>
      <c r="I83" s="63"/>
      <c r="J83" s="63"/>
      <c r="K83" s="63"/>
      <c r="L83" s="63"/>
    </row>
    <row r="84" spans="3:12" x14ac:dyDescent="0.25">
      <c r="C84" s="63"/>
      <c r="D84" s="63"/>
      <c r="E84" s="63"/>
      <c r="F84" s="63"/>
      <c r="G84" s="63"/>
      <c r="H84" s="63"/>
      <c r="I84" s="63"/>
      <c r="J84" s="63"/>
      <c r="K84" s="63"/>
      <c r="L84" s="63"/>
    </row>
    <row r="85" spans="3:12" x14ac:dyDescent="0.25">
      <c r="C85" s="63"/>
      <c r="D85" s="63"/>
      <c r="E85" s="63"/>
      <c r="F85" s="63"/>
      <c r="G85" s="63"/>
      <c r="H85" s="63"/>
      <c r="I85" s="63"/>
      <c r="J85" s="63"/>
      <c r="K85" s="63"/>
      <c r="L85" s="63"/>
    </row>
    <row r="86" spans="3:12" x14ac:dyDescent="0.25">
      <c r="C86" s="63"/>
      <c r="D86" s="63"/>
      <c r="E86" s="63"/>
      <c r="F86" s="63"/>
      <c r="G86" s="63"/>
      <c r="H86" s="63"/>
      <c r="I86" s="63"/>
      <c r="J86" s="63"/>
      <c r="K86" s="63"/>
      <c r="L86" s="63"/>
    </row>
    <row r="87" spans="3:12" x14ac:dyDescent="0.25">
      <c r="C87" s="63"/>
      <c r="D87" s="63"/>
      <c r="E87" s="63"/>
      <c r="F87" s="63"/>
      <c r="G87" s="63"/>
      <c r="H87" s="63"/>
      <c r="I87" s="63"/>
      <c r="J87" s="63"/>
      <c r="K87" s="63"/>
      <c r="L87" s="63"/>
    </row>
    <row r="88" spans="3:12" x14ac:dyDescent="0.25">
      <c r="C88" s="63"/>
      <c r="D88" s="63"/>
      <c r="E88" s="63"/>
      <c r="F88" s="63"/>
      <c r="G88" s="63"/>
      <c r="H88" s="63"/>
      <c r="I88" s="63"/>
      <c r="J88" s="63"/>
      <c r="K88" s="63"/>
      <c r="L88" s="63"/>
    </row>
    <row r="89" spans="3:12" x14ac:dyDescent="0.25">
      <c r="C89" s="63"/>
      <c r="D89" s="63"/>
      <c r="E89" s="63"/>
      <c r="F89" s="63"/>
      <c r="G89" s="63"/>
      <c r="H89" s="63"/>
      <c r="I89" s="63"/>
      <c r="J89" s="63"/>
      <c r="K89" s="63"/>
      <c r="L89" s="63"/>
    </row>
    <row r="90" spans="3:12" x14ac:dyDescent="0.25">
      <c r="C90" s="63"/>
      <c r="D90" s="63"/>
      <c r="E90" s="63"/>
      <c r="F90" s="63"/>
      <c r="G90" s="63"/>
      <c r="H90" s="63"/>
      <c r="I90" s="63"/>
      <c r="J90" s="63"/>
      <c r="K90" s="63"/>
      <c r="L90" s="63"/>
    </row>
    <row r="91" spans="3:12" x14ac:dyDescent="0.25">
      <c r="C91" s="63"/>
      <c r="D91" s="63"/>
      <c r="E91" s="63"/>
      <c r="F91" s="63"/>
      <c r="G91" s="63"/>
      <c r="H91" s="63"/>
      <c r="I91" s="63"/>
      <c r="J91" s="63"/>
      <c r="K91" s="63"/>
      <c r="L91" s="63"/>
    </row>
    <row r="92" spans="3:12" x14ac:dyDescent="0.25">
      <c r="C92" s="63"/>
      <c r="D92" s="63"/>
      <c r="E92" s="63"/>
      <c r="F92" s="63"/>
      <c r="G92" s="63"/>
      <c r="H92" s="63"/>
      <c r="I92" s="63"/>
      <c r="J92" s="63"/>
      <c r="K92" s="63"/>
      <c r="L92" s="63"/>
    </row>
    <row r="93" spans="3:12" x14ac:dyDescent="0.25">
      <c r="C93" s="63"/>
      <c r="D93" s="63"/>
      <c r="E93" s="63"/>
      <c r="F93" s="63"/>
      <c r="G93" s="63"/>
      <c r="H93" s="63"/>
      <c r="I93" s="63"/>
      <c r="J93" s="63"/>
      <c r="K93" s="63"/>
      <c r="L93" s="63"/>
    </row>
    <row r="94" spans="3:12" x14ac:dyDescent="0.25">
      <c r="C94" s="63"/>
      <c r="D94" s="63"/>
      <c r="E94" s="63"/>
      <c r="F94" s="63"/>
      <c r="G94" s="63"/>
      <c r="H94" s="63"/>
      <c r="I94" s="63"/>
      <c r="J94" s="63"/>
      <c r="K94" s="63"/>
      <c r="L94" s="63"/>
    </row>
    <row r="95" spans="3:12" x14ac:dyDescent="0.25">
      <c r="C95" s="63"/>
      <c r="D95" s="63"/>
      <c r="E95" s="63"/>
      <c r="F95" s="63"/>
      <c r="G95" s="63"/>
      <c r="H95" s="63"/>
      <c r="I95" s="63"/>
      <c r="J95" s="63"/>
      <c r="K95" s="63"/>
      <c r="L95" s="63"/>
    </row>
    <row r="96" spans="3:12" x14ac:dyDescent="0.25">
      <c r="C96" s="63"/>
      <c r="D96" s="63"/>
      <c r="E96" s="63"/>
      <c r="F96" s="63"/>
      <c r="G96" s="63"/>
      <c r="H96" s="63"/>
      <c r="I96" s="63"/>
      <c r="J96" s="63"/>
      <c r="K96" s="63"/>
      <c r="L96" s="63"/>
    </row>
    <row r="97" spans="3:12" x14ac:dyDescent="0.25">
      <c r="C97" s="63"/>
      <c r="D97" s="63"/>
      <c r="E97" s="63"/>
      <c r="F97" s="63"/>
      <c r="G97" s="63"/>
      <c r="H97" s="63"/>
      <c r="I97" s="63"/>
      <c r="J97" s="63"/>
      <c r="K97" s="63"/>
      <c r="L97" s="63"/>
    </row>
    <row r="98" spans="3:12" x14ac:dyDescent="0.25">
      <c r="C98" s="63"/>
      <c r="D98" s="63"/>
      <c r="E98" s="63"/>
      <c r="F98" s="63"/>
      <c r="G98" s="63"/>
      <c r="H98" s="63"/>
      <c r="I98" s="63"/>
      <c r="J98" s="63"/>
      <c r="K98" s="63"/>
      <c r="L98" s="63"/>
    </row>
    <row r="99" spans="3:12" x14ac:dyDescent="0.25">
      <c r="C99" s="63"/>
      <c r="D99" s="63"/>
      <c r="E99" s="63"/>
      <c r="F99" s="63"/>
      <c r="G99" s="63"/>
      <c r="H99" s="63"/>
      <c r="I99" s="63"/>
      <c r="J99" s="63"/>
      <c r="K99" s="63"/>
      <c r="L99" s="63"/>
    </row>
    <row r="100" spans="3:12" x14ac:dyDescent="0.25">
      <c r="C100" s="63"/>
      <c r="D100" s="63"/>
      <c r="E100" s="63"/>
      <c r="F100" s="63"/>
      <c r="G100" s="63"/>
      <c r="H100" s="63"/>
      <c r="I100" s="63"/>
      <c r="J100" s="63"/>
      <c r="K100" s="63"/>
      <c r="L100" s="63"/>
    </row>
    <row r="101" spans="3:12" x14ac:dyDescent="0.25">
      <c r="C101" s="63"/>
      <c r="D101" s="63"/>
      <c r="E101" s="63"/>
      <c r="F101" s="63"/>
      <c r="G101" s="63"/>
      <c r="H101" s="63"/>
      <c r="I101" s="63"/>
      <c r="J101" s="63"/>
      <c r="K101" s="63"/>
      <c r="L101" s="63"/>
    </row>
    <row r="102" spans="3:12" x14ac:dyDescent="0.25">
      <c r="C102" s="63"/>
      <c r="D102" s="63"/>
      <c r="E102" s="63"/>
      <c r="F102" s="63"/>
      <c r="G102" s="63"/>
      <c r="H102" s="63"/>
      <c r="I102" s="63"/>
      <c r="J102" s="63"/>
      <c r="K102" s="63"/>
      <c r="L102" s="63"/>
    </row>
    <row r="103" spans="3:12" x14ac:dyDescent="0.25">
      <c r="C103" s="63"/>
      <c r="D103" s="63"/>
      <c r="E103" s="63"/>
      <c r="F103" s="63"/>
      <c r="G103" s="63"/>
      <c r="H103" s="63"/>
      <c r="I103" s="63"/>
      <c r="J103" s="63"/>
      <c r="K103" s="63"/>
      <c r="L103" s="63"/>
    </row>
    <row r="104" spans="3:12" x14ac:dyDescent="0.25">
      <c r="C104" s="63"/>
      <c r="D104" s="63"/>
      <c r="E104" s="63"/>
      <c r="F104" s="63"/>
      <c r="G104" s="63"/>
      <c r="H104" s="63"/>
      <c r="I104" s="63"/>
      <c r="J104" s="63"/>
      <c r="K104" s="63"/>
      <c r="L104" s="63"/>
    </row>
    <row r="105" spans="3:12" x14ac:dyDescent="0.25">
      <c r="C105" s="63"/>
      <c r="D105" s="63"/>
      <c r="E105" s="63"/>
      <c r="F105" s="63"/>
      <c r="G105" s="63"/>
      <c r="H105" s="63"/>
      <c r="I105" s="63"/>
      <c r="J105" s="63"/>
      <c r="K105" s="63"/>
      <c r="L105" s="63"/>
    </row>
    <row r="106" spans="3:12" x14ac:dyDescent="0.25">
      <c r="C106" s="63"/>
      <c r="D106" s="63"/>
      <c r="E106" s="63"/>
      <c r="F106" s="63"/>
      <c r="G106" s="63"/>
      <c r="H106" s="63"/>
      <c r="I106" s="63"/>
      <c r="J106" s="63"/>
      <c r="K106" s="63"/>
      <c r="L106" s="63"/>
    </row>
    <row r="107" spans="3:12" x14ac:dyDescent="0.25">
      <c r="C107" s="63"/>
      <c r="D107" s="63"/>
      <c r="E107" s="63"/>
      <c r="F107" s="63"/>
      <c r="G107" s="63"/>
      <c r="H107" s="63"/>
      <c r="I107" s="63"/>
      <c r="J107" s="63"/>
      <c r="K107" s="63"/>
      <c r="L107" s="63"/>
    </row>
    <row r="108" spans="3:12" x14ac:dyDescent="0.25">
      <c r="C108" s="63"/>
      <c r="D108" s="63"/>
      <c r="E108" s="63"/>
      <c r="F108" s="63"/>
      <c r="G108" s="63"/>
      <c r="H108" s="63"/>
      <c r="I108" s="63"/>
      <c r="J108" s="63"/>
      <c r="K108" s="63"/>
      <c r="L108" s="63"/>
    </row>
    <row r="109" spans="3:12" x14ac:dyDescent="0.25">
      <c r="C109" s="63"/>
      <c r="D109" s="63"/>
      <c r="E109" s="63"/>
      <c r="F109" s="63"/>
      <c r="G109" s="63"/>
      <c r="H109" s="63"/>
      <c r="I109" s="63"/>
      <c r="J109" s="63"/>
      <c r="K109" s="63"/>
      <c r="L109" s="63"/>
    </row>
    <row r="110" spans="3:12" x14ac:dyDescent="0.25">
      <c r="C110" s="63"/>
      <c r="D110" s="63"/>
      <c r="E110" s="63"/>
      <c r="F110" s="63"/>
      <c r="G110" s="63"/>
      <c r="H110" s="63"/>
      <c r="I110" s="63"/>
      <c r="J110" s="63"/>
      <c r="K110" s="63"/>
      <c r="L110" s="63"/>
    </row>
    <row r="111" spans="3:12" x14ac:dyDescent="0.25">
      <c r="C111" s="63"/>
      <c r="D111" s="63"/>
      <c r="E111" s="63"/>
      <c r="F111" s="63"/>
      <c r="G111" s="63"/>
      <c r="H111" s="63"/>
      <c r="I111" s="63"/>
      <c r="J111" s="63"/>
      <c r="K111" s="63"/>
      <c r="L111" s="63"/>
    </row>
    <row r="112" spans="3:12" x14ac:dyDescent="0.25">
      <c r="C112" s="63"/>
      <c r="D112" s="63"/>
      <c r="E112" s="63"/>
      <c r="F112" s="63"/>
      <c r="G112" s="63"/>
      <c r="H112" s="63"/>
      <c r="I112" s="63"/>
      <c r="J112" s="63"/>
      <c r="K112" s="63"/>
      <c r="L112" s="63"/>
    </row>
    <row r="113" spans="3:12" x14ac:dyDescent="0.25">
      <c r="C113" s="63"/>
      <c r="D113" s="63"/>
      <c r="E113" s="63"/>
      <c r="F113" s="63"/>
      <c r="G113" s="63"/>
      <c r="H113" s="63"/>
      <c r="I113" s="63"/>
      <c r="J113" s="63"/>
      <c r="K113" s="63"/>
      <c r="L113" s="63"/>
    </row>
    <row r="114" spans="3:12" x14ac:dyDescent="0.25">
      <c r="C114" s="63"/>
      <c r="D114" s="63"/>
      <c r="E114" s="63"/>
      <c r="F114" s="63"/>
      <c r="G114" s="63"/>
      <c r="H114" s="63"/>
      <c r="I114" s="63"/>
      <c r="J114" s="63"/>
      <c r="K114" s="63"/>
      <c r="L114" s="63"/>
    </row>
    <row r="115" spans="3:12" x14ac:dyDescent="0.25">
      <c r="C115" s="63"/>
      <c r="D115" s="63"/>
      <c r="E115" s="63"/>
      <c r="F115" s="63"/>
      <c r="G115" s="63"/>
      <c r="H115" s="63"/>
      <c r="I115" s="63"/>
      <c r="J115" s="63"/>
      <c r="K115" s="63"/>
      <c r="L115" s="63"/>
    </row>
    <row r="116" spans="3:12" x14ac:dyDescent="0.25">
      <c r="C116" s="63"/>
      <c r="D116" s="63"/>
      <c r="E116" s="63"/>
      <c r="F116" s="63"/>
      <c r="G116" s="63"/>
      <c r="H116" s="63"/>
      <c r="I116" s="63"/>
      <c r="J116" s="63"/>
      <c r="K116" s="63"/>
      <c r="L116" s="63"/>
    </row>
    <row r="117" spans="3:12" x14ac:dyDescent="0.25">
      <c r="C117" s="63"/>
      <c r="D117" s="63"/>
      <c r="E117" s="63"/>
      <c r="F117" s="63"/>
      <c r="G117" s="63"/>
      <c r="H117" s="63"/>
      <c r="I117" s="63"/>
      <c r="J117" s="63"/>
      <c r="K117" s="63"/>
      <c r="L117" s="63"/>
    </row>
    <row r="118" spans="3:12" x14ac:dyDescent="0.25">
      <c r="C118" s="63"/>
      <c r="D118" s="63"/>
      <c r="E118" s="63"/>
      <c r="F118" s="63"/>
      <c r="G118" s="63"/>
      <c r="H118" s="63"/>
      <c r="I118" s="63"/>
      <c r="J118" s="63"/>
      <c r="K118" s="63"/>
      <c r="L118" s="63"/>
    </row>
    <row r="119" spans="3:12" x14ac:dyDescent="0.25">
      <c r="C119" s="63"/>
      <c r="D119" s="63"/>
      <c r="E119" s="63"/>
      <c r="F119" s="63"/>
      <c r="G119" s="63"/>
      <c r="H119" s="63"/>
      <c r="I119" s="63"/>
      <c r="J119" s="63"/>
      <c r="K119" s="63"/>
      <c r="L119" s="63"/>
    </row>
    <row r="120" spans="3:12" x14ac:dyDescent="0.25">
      <c r="C120" s="63"/>
      <c r="D120" s="63"/>
      <c r="E120" s="63"/>
      <c r="F120" s="63"/>
      <c r="G120" s="63"/>
      <c r="H120" s="63"/>
      <c r="I120" s="63"/>
      <c r="J120" s="63"/>
      <c r="K120" s="63"/>
      <c r="L120" s="63"/>
    </row>
  </sheetData>
  <mergeCells count="42">
    <mergeCell ref="BS2:BX2"/>
    <mergeCell ref="BY2:CD2"/>
    <mergeCell ref="CE2:CJ2"/>
    <mergeCell ref="CH3:CJ3"/>
    <mergeCell ref="BP3:BR3"/>
    <mergeCell ref="BS3:BU3"/>
    <mergeCell ref="BV3:BX3"/>
    <mergeCell ref="BY3:CA3"/>
    <mergeCell ref="CB3:CD3"/>
    <mergeCell ref="CE3:CG3"/>
    <mergeCell ref="BG3:BI3"/>
    <mergeCell ref="BJ3:BL3"/>
    <mergeCell ref="BM3:BO3"/>
    <mergeCell ref="BG2:BL2"/>
    <mergeCell ref="BM2:BR2"/>
    <mergeCell ref="BA2:BF2"/>
    <mergeCell ref="K2:P2"/>
    <mergeCell ref="K3:M3"/>
    <mergeCell ref="N3:P3"/>
    <mergeCell ref="AO2:AT2"/>
    <mergeCell ref="AO3:AQ3"/>
    <mergeCell ref="AR3:AT3"/>
    <mergeCell ref="Q2:V2"/>
    <mergeCell ref="T3:V3"/>
    <mergeCell ref="AC2:AH2"/>
    <mergeCell ref="AC3:AE3"/>
    <mergeCell ref="W2:AB2"/>
    <mergeCell ref="W3:Y3"/>
    <mergeCell ref="BA3:BC3"/>
    <mergeCell ref="BD3:BF3"/>
    <mergeCell ref="AF3:AH3"/>
    <mergeCell ref="AI3:AK3"/>
    <mergeCell ref="AI2:AN2"/>
    <mergeCell ref="AL3:AN3"/>
    <mergeCell ref="AU2:AZ2"/>
    <mergeCell ref="AU3:AW3"/>
    <mergeCell ref="AX3:AZ3"/>
    <mergeCell ref="E3:G3"/>
    <mergeCell ref="H3:J3"/>
    <mergeCell ref="E2:J2"/>
    <mergeCell ref="Q3:S3"/>
    <mergeCell ref="Z3:AB3"/>
  </mergeCells>
  <phoneticPr fontId="20" type="noConversion"/>
  <conditionalFormatting sqref="J5:J45">
    <cfRule type="expression" dxfId="73" priority="30">
      <formula>J5&gt;J6</formula>
    </cfRule>
  </conditionalFormatting>
  <conditionalFormatting sqref="M5:M45">
    <cfRule type="expression" dxfId="72" priority="29">
      <formula>M5&gt;M6</formula>
    </cfRule>
  </conditionalFormatting>
  <conditionalFormatting sqref="P5:P45">
    <cfRule type="expression" dxfId="71" priority="28">
      <formula>P5&gt;P6</formula>
    </cfRule>
  </conditionalFormatting>
  <conditionalFormatting sqref="S5:S45">
    <cfRule type="expression" dxfId="70" priority="27">
      <formula>S5&gt;S6</formula>
    </cfRule>
  </conditionalFormatting>
  <conditionalFormatting sqref="V5:V45">
    <cfRule type="expression" dxfId="69" priority="26">
      <formula>V5&gt;V6</formula>
    </cfRule>
  </conditionalFormatting>
  <conditionalFormatting sqref="Y5:Y45">
    <cfRule type="expression" dxfId="68" priority="25">
      <formula>Y5&gt;Y6</formula>
    </cfRule>
  </conditionalFormatting>
  <conditionalFormatting sqref="AB5:AB45">
    <cfRule type="expression" dxfId="67" priority="24">
      <formula>AB5&gt;AB6</formula>
    </cfRule>
  </conditionalFormatting>
  <conditionalFormatting sqref="AE5:AE45">
    <cfRule type="expression" dxfId="66" priority="22">
      <formula>AE5&gt;AE6</formula>
    </cfRule>
    <cfRule type="expression" dxfId="65" priority="23">
      <formula>AE5&gt;AE5</formula>
    </cfRule>
  </conditionalFormatting>
  <conditionalFormatting sqref="AH5:AH45">
    <cfRule type="expression" dxfId="64" priority="21">
      <formula>AH5&gt;AH6</formula>
    </cfRule>
  </conditionalFormatting>
  <conditionalFormatting sqref="AK5:AK45">
    <cfRule type="expression" dxfId="63" priority="20">
      <formula>AK5&gt;AK6</formula>
    </cfRule>
  </conditionalFormatting>
  <conditionalFormatting sqref="AN5:AN45">
    <cfRule type="expression" dxfId="62" priority="19">
      <formula>AN5&gt;AN6</formula>
    </cfRule>
  </conditionalFormatting>
  <conditionalFormatting sqref="AQ5:AQ45">
    <cfRule type="expression" dxfId="61" priority="18">
      <formula>AQ5&gt;AQ6</formula>
    </cfRule>
  </conditionalFormatting>
  <conditionalFormatting sqref="AT5:AT45">
    <cfRule type="expression" dxfId="60" priority="17">
      <formula>AT5&gt;AT6</formula>
    </cfRule>
  </conditionalFormatting>
  <conditionalFormatting sqref="G5:G45">
    <cfRule type="expression" dxfId="59" priority="16">
      <formula>G5&gt;G6</formula>
    </cfRule>
  </conditionalFormatting>
  <conditionalFormatting sqref="AW5:AW45">
    <cfRule type="expression" dxfId="58" priority="15">
      <formula>AW5&gt;AW6</formula>
    </cfRule>
  </conditionalFormatting>
  <conditionalFormatting sqref="AZ5:AZ45">
    <cfRule type="expression" dxfId="57" priority="14">
      <formula>AZ5&gt;AZ6</formula>
    </cfRule>
  </conditionalFormatting>
  <conditionalFormatting sqref="BC5:BC45">
    <cfRule type="expression" dxfId="56" priority="13">
      <formula>BC5&gt;BC6</formula>
    </cfRule>
  </conditionalFormatting>
  <conditionalFormatting sqref="BF5:BF45">
    <cfRule type="expression" dxfId="55" priority="12">
      <formula>BF5&gt;BF6</formula>
    </cfRule>
  </conditionalFormatting>
  <conditionalFormatting sqref="BI5:BI45">
    <cfRule type="expression" dxfId="54" priority="11">
      <formula>BI5&gt;BI6</formula>
    </cfRule>
  </conditionalFormatting>
  <conditionalFormatting sqref="BL5:BL45">
    <cfRule type="expression" dxfId="53" priority="10">
      <formula>BL5&gt;BL6</formula>
    </cfRule>
  </conditionalFormatting>
  <conditionalFormatting sqref="BO5:BO45">
    <cfRule type="expression" dxfId="52" priority="9">
      <formula>BO5&gt;BO6</formula>
    </cfRule>
  </conditionalFormatting>
  <conditionalFormatting sqref="BR5:BR45">
    <cfRule type="expression" dxfId="51" priority="8">
      <formula>"BR5&gt;BR6"</formula>
    </cfRule>
  </conditionalFormatting>
  <conditionalFormatting sqref="BU5:BU45">
    <cfRule type="expression" dxfId="50" priority="7">
      <formula>"BU6&gt;BU5"</formula>
    </cfRule>
  </conditionalFormatting>
  <conditionalFormatting sqref="BX5:BX45">
    <cfRule type="expression" dxfId="49" priority="5">
      <formula>BX5&gt;BX6</formula>
    </cfRule>
  </conditionalFormatting>
  <conditionalFormatting sqref="CA5:CA45">
    <cfRule type="expression" dxfId="48" priority="4">
      <formula>CA5&gt;CA6</formula>
    </cfRule>
  </conditionalFormatting>
  <conditionalFormatting sqref="CD5:CD45">
    <cfRule type="expression" dxfId="47" priority="3">
      <formula>CD5&gt;CD6</formula>
    </cfRule>
  </conditionalFormatting>
  <conditionalFormatting sqref="CG5:CG45">
    <cfRule type="expression" dxfId="46" priority="2">
      <formula>CG5&gt;CG6</formula>
    </cfRule>
  </conditionalFormatting>
  <conditionalFormatting sqref="CJ5:CJ45">
    <cfRule type="expression" dxfId="45" priority="1">
      <formula>CJ5&gt;CJ6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746DC-F84C-433A-833D-4B0C8E11D032}">
  <sheetPr codeName="Sheet5"/>
  <dimension ref="A1:Y98"/>
  <sheetViews>
    <sheetView topLeftCell="C10" workbookViewId="0">
      <selection activeCell="AA30" sqref="AA30"/>
    </sheetView>
  </sheetViews>
  <sheetFormatPr defaultRowHeight="15" x14ac:dyDescent="0.25"/>
  <cols>
    <col min="1" max="2" width="9.140625" hidden="1" customWidth="1"/>
    <col min="5" max="5" width="10.140625" customWidth="1"/>
    <col min="10" max="10" width="11" customWidth="1"/>
    <col min="11" max="11" width="11.28515625" customWidth="1"/>
    <col min="23" max="23" width="9.140625" customWidth="1"/>
  </cols>
  <sheetData>
    <row r="1" spans="1:25" hidden="1" x14ac:dyDescent="0.25">
      <c r="A1" s="2"/>
      <c r="B1" s="2" t="s">
        <v>0</v>
      </c>
    </row>
    <row r="2" spans="1:25" hidden="1" x14ac:dyDescent="0.25">
      <c r="A2" s="2">
        <v>1</v>
      </c>
      <c r="B2" s="2">
        <v>3</v>
      </c>
    </row>
    <row r="3" spans="1:25" x14ac:dyDescent="0.25">
      <c r="A3" s="2">
        <v>2</v>
      </c>
      <c r="B3" s="2">
        <v>5</v>
      </c>
    </row>
    <row r="4" spans="1:25" x14ac:dyDescent="0.25">
      <c r="A4" s="2">
        <v>4</v>
      </c>
      <c r="B4" s="2">
        <v>8</v>
      </c>
      <c r="F4" s="264" t="s">
        <v>66</v>
      </c>
      <c r="G4" s="264"/>
      <c r="H4" s="264"/>
      <c r="K4" s="264" t="s">
        <v>67</v>
      </c>
      <c r="L4" s="264"/>
      <c r="M4" s="264"/>
      <c r="N4" s="48"/>
      <c r="O4" s="48"/>
      <c r="P4" s="48"/>
      <c r="Q4" s="48"/>
    </row>
    <row r="5" spans="1:25" x14ac:dyDescent="0.25">
      <c r="A5" s="2">
        <v>8</v>
      </c>
      <c r="B5" s="2">
        <v>12.8</v>
      </c>
      <c r="E5" t="s">
        <v>112</v>
      </c>
      <c r="F5" t="s">
        <v>69</v>
      </c>
      <c r="G5" t="s">
        <v>0</v>
      </c>
      <c r="H5" t="s">
        <v>126</v>
      </c>
      <c r="J5" t="s">
        <v>112</v>
      </c>
      <c r="K5" t="s">
        <v>69</v>
      </c>
      <c r="L5" s="48" t="s">
        <v>0</v>
      </c>
      <c r="M5" s="48" t="s">
        <v>126</v>
      </c>
      <c r="N5" s="48"/>
      <c r="O5" s="48"/>
      <c r="P5" s="48"/>
      <c r="Q5" s="48"/>
      <c r="R5" s="48"/>
    </row>
    <row r="6" spans="1:25" x14ac:dyDescent="0.25">
      <c r="A6" s="2">
        <v>15</v>
      </c>
      <c r="B6" s="2">
        <v>17.5</v>
      </c>
      <c r="D6" t="s">
        <v>125</v>
      </c>
      <c r="E6" t="s">
        <v>108</v>
      </c>
      <c r="F6" s="104">
        <f>SUM('Riser Calculation'!E5)</f>
        <v>34.300000000000004</v>
      </c>
      <c r="G6" s="96">
        <f>FORECAST(F6,INDEX($B$2:$B$44,MATCH(F6,$A$2:$A$44,1)):INDEX($B$2:$B$44,MATCH(F6,$A$2:$A$44,1)+1),INDEX($A$2:$A$44,MATCH(F6,$A$2:$A$44,1)):INDEX($A$2:$A$44,MATCH(F6,$A$2:$A$44,1)+1))</f>
        <v>24.547000000000004</v>
      </c>
      <c r="H6" s="96">
        <f t="shared" ref="H6:H13" si="0">IF(AND(G6&lt;=750,G6&gt;250),6,IF(AND(G6&lt;=250,G6&gt;120),4,IF(AND(G6&lt;=120,G6&gt;75),3,IF(AND(G6&lt;=75,G6&gt;40),2.5,IF(AND(G6&lt;=40,G6&gt;20),2,IF(AND(G6&lt;=20,G6&gt;14),1.5,IF(AND(G6&lt;=14,G6&gt;7),1.25,IF(AND(G6&lt;=7,G6&gt;3.5),1,IF(AND(G6&lt;=3.5,G6&gt;1.7),0.75,IF(AND(G6&lt;=1.7,G6&gt;0),0.5))))))))))</f>
        <v>2</v>
      </c>
      <c r="J6" t="s">
        <v>110</v>
      </c>
      <c r="K6" s="104">
        <f>SUM('Riser Calculation'!H5)</f>
        <v>30.5</v>
      </c>
      <c r="L6" s="96">
        <f>FORECAST(K6,INDEX($B$2:$B$44,MATCH(K6,$A$2:$A$44,1)):INDEX($B$2:$B$44,MATCH(K6,$A$2:$A$44,1)+1),INDEX($A$2:$A$44,MATCH(K6,$A$2:$A$44,1)):INDEX($A$2:$A$44,MATCH(K6,$A$2:$A$44,1)+1))</f>
        <v>23.445</v>
      </c>
      <c r="M6" s="96">
        <f t="shared" ref="M6:M13" si="1">IF(AND(L6&lt;=750,L6&gt;250),6,IF(AND(L6&lt;=250,L6&gt;120),4,IF(AND(L6&lt;=120,L6&gt;75),3,IF(AND(L6&lt;=75,L6&gt;40),2.5,IF(AND(L6&lt;=40,L6&gt;20),2,IF(AND(L6&lt;=20,L6&gt;14),1.5,IF(AND(L6&lt;=14,L6&gt;7),1.25,IF(AND(L6&lt;=7,L6&gt;3.5),1,IF(AND(L6&lt;=3.5,L6&gt;1.7),0.75,IF(AND(L6&lt;=1.7,L6&gt;0),0.5))))))))))</f>
        <v>2</v>
      </c>
    </row>
    <row r="7" spans="1:25" x14ac:dyDescent="0.25">
      <c r="A7" s="2">
        <v>30</v>
      </c>
      <c r="B7" s="2">
        <v>23.3</v>
      </c>
      <c r="E7" t="s">
        <v>111</v>
      </c>
      <c r="F7" s="104">
        <f>SUM('Riser Calculation'!K5)</f>
        <v>23.5</v>
      </c>
      <c r="G7" s="96">
        <f>FORECAST(F7,INDEX($B$2:$B$44,MATCH(F7,$A$2:$A$44,1)):INDEX($B$2:$B$44,MATCH(F7,$A$2:$A$44,1)+1),INDEX($A$2:$A$44,MATCH(F7,$A$2:$A$44,1)):INDEX($A$2:$A$44,MATCH(F7,$A$2:$A$44,1)+1))</f>
        <v>20.786666666666665</v>
      </c>
      <c r="H7" s="96">
        <f t="shared" si="0"/>
        <v>2</v>
      </c>
      <c r="J7" t="s">
        <v>109</v>
      </c>
      <c r="K7" s="104">
        <f>SUM('Riser Calculation'!N5)</f>
        <v>24.5</v>
      </c>
      <c r="L7" s="96">
        <f>FORECAST(K7,INDEX($B$2:$B$44,MATCH(K7,$A$2:$A$44,1)):INDEX($B$2:$B$44,MATCH(K7,$A$2:$A$44,1)+1),INDEX($A$2:$A$44,MATCH(K7,$A$2:$A$44,1)):INDEX($A$2:$A$44,MATCH(K7,$A$2:$A$44,1)+1))</f>
        <v>21.173333333333332</v>
      </c>
      <c r="M7" s="96">
        <f t="shared" si="1"/>
        <v>2</v>
      </c>
    </row>
    <row r="8" spans="1:25" x14ac:dyDescent="0.25">
      <c r="A8" s="2">
        <v>50</v>
      </c>
      <c r="B8" s="2">
        <v>29.1</v>
      </c>
      <c r="E8" t="s">
        <v>113</v>
      </c>
      <c r="F8" s="104">
        <f>SUM('Riser Calculation'!Q5)</f>
        <v>23.5</v>
      </c>
      <c r="G8" s="96">
        <f>FORECAST(F8,INDEX($B$2:$B$44,MATCH(F8,$A$2:$A$44,1)):INDEX($B$2:$B$44,MATCH(F8,$A$2:$A$44,1)+1),INDEX($A$2:$A$44,MATCH(F8,$A$2:$A$44,1)):INDEX($A$2:$A$44,MATCH(F8,$A$2:$A$44,1)+1))</f>
        <v>20.786666666666665</v>
      </c>
      <c r="H8" s="96">
        <f t="shared" si="0"/>
        <v>2</v>
      </c>
      <c r="J8" t="s">
        <v>114</v>
      </c>
      <c r="K8" s="104">
        <f>SUM('Riser Calculation'!T5)</f>
        <v>24.5</v>
      </c>
      <c r="L8" s="96">
        <f>FORECAST(K8,INDEX($B$2:$B$44,MATCH(K8,$A$2:$A$44,1)):INDEX($B$2:$B$44,MATCH(K8,$A$2:$A$44,1)+1),INDEX($A$2:$A$44,MATCH(K8,$A$2:$A$44,1)):INDEX($A$2:$A$44,MATCH(K8,$A$2:$A$44,1)+1))</f>
        <v>21.173333333333332</v>
      </c>
      <c r="M8" s="96">
        <f t="shared" si="1"/>
        <v>2</v>
      </c>
    </row>
    <row r="9" spans="1:25" x14ac:dyDescent="0.25">
      <c r="A9" s="2">
        <v>60</v>
      </c>
      <c r="B9" s="2">
        <v>33</v>
      </c>
      <c r="E9" t="s">
        <v>115</v>
      </c>
      <c r="F9" s="104">
        <f>SUM('Riser Calculation'!W5)</f>
        <v>23.5</v>
      </c>
      <c r="G9" s="96">
        <f>FORECAST(F9,INDEX($B$2:$B$44,MATCH(F9,$A$2:$A$44,1)):INDEX($B$2:$B$44,MATCH(F9,$A$2:$A$44,1)+1),INDEX($A$2:$A$44,MATCH(F9,$A$2:$A$44,1)):INDEX($A$2:$A$44,MATCH(F9,$A$2:$A$44,1)+1))</f>
        <v>20.786666666666665</v>
      </c>
      <c r="H9" s="96">
        <f t="shared" si="0"/>
        <v>2</v>
      </c>
      <c r="J9" t="s">
        <v>116</v>
      </c>
      <c r="K9" s="104">
        <f>SUM('Riser Calculation'!Z5)</f>
        <v>24.5</v>
      </c>
      <c r="L9" s="96">
        <f>FORECAST(K9,INDEX($B$2:$B$44,MATCH(K9,$A$2:$A$44,1)):INDEX($B$2:$B$44,MATCH(K9,$A$2:$A$44,1)+1),INDEX($A$2:$A$44,MATCH(K9,$A$2:$A$44,1)):INDEX($A$2:$A$44,MATCH(K9,$A$2:$A$44,1)+1))</f>
        <v>21.173333333333332</v>
      </c>
      <c r="M9" s="96">
        <f t="shared" si="1"/>
        <v>2</v>
      </c>
    </row>
    <row r="10" spans="1:25" x14ac:dyDescent="0.25">
      <c r="A10" s="2">
        <v>70</v>
      </c>
      <c r="B10" s="2">
        <v>37</v>
      </c>
      <c r="E10" t="s">
        <v>117</v>
      </c>
      <c r="F10" s="104">
        <f>SUM('Riser Calculation'!AC5)</f>
        <v>18.8</v>
      </c>
      <c r="G10" s="96">
        <f>FORECAST(F10,INDEX($B$2:$B$44,MATCH(F10,$A$2:$A$44,1)):INDEX($B$2:$B$44,MATCH(F10,$A$2:$A$44,1)+1),INDEX($A$2:$A$44,MATCH(F10,$A$2:$A$44,1)):INDEX($A$2:$A$44,MATCH(F10,$A$2:$A$44,1)+1))</f>
        <v>18.969333333333331</v>
      </c>
      <c r="H10" s="96">
        <f t="shared" si="0"/>
        <v>1.5</v>
      </c>
      <c r="J10" t="s">
        <v>118</v>
      </c>
      <c r="K10" s="104">
        <f>SUM('Riser Calculation'!AF5)</f>
        <v>19.600000000000001</v>
      </c>
      <c r="L10" s="96">
        <f>FORECAST(K10,INDEX($B$2:$B$44,MATCH(K10,$A$2:$A$44,1)):INDEX($B$2:$B$44,MATCH(K10,$A$2:$A$44,1)+1),INDEX($A$2:$A$44,MATCH(K10,$A$2:$A$44,1)):INDEX($A$2:$A$44,MATCH(K10,$A$2:$A$44,1)+1))</f>
        <v>19.278666666666666</v>
      </c>
      <c r="M10" s="96">
        <f t="shared" si="1"/>
        <v>1.5</v>
      </c>
    </row>
    <row r="11" spans="1:25" x14ac:dyDescent="0.25">
      <c r="A11" s="2">
        <v>80</v>
      </c>
      <c r="B11" s="2">
        <v>40</v>
      </c>
      <c r="E11" t="s">
        <v>119</v>
      </c>
      <c r="F11" s="104">
        <f>SUM('Riser Calculation'!AI5)</f>
        <v>21.5</v>
      </c>
      <c r="G11" s="96">
        <f>FORECAST(F11,INDEX($B$2:$B$44,MATCH(F11,$A$2:$A$44,1)):INDEX($B$2:$B$44,MATCH(F11,$A$2:$A$44,1)+1),INDEX($A$2:$A$44,MATCH(F11,$A$2:$A$44,1)):INDEX($A$2:$A$44,MATCH(F11,$A$2:$A$44,1)+1))</f>
        <v>20.013333333333332</v>
      </c>
      <c r="H11" s="96">
        <f t="shared" si="0"/>
        <v>2</v>
      </c>
      <c r="J11" t="s">
        <v>120</v>
      </c>
      <c r="K11" s="104">
        <f>SUM('Riser Calculation'!AL5)</f>
        <v>20.100000000000001</v>
      </c>
      <c r="L11" s="96">
        <f>FORECAST(K11,INDEX($B$2:$B$44,MATCH(K11,$A$2:$A$44,1)):INDEX($B$2:$B$44,MATCH(K11,$A$2:$A$44,1)+1),INDEX($A$2:$A$44,MATCH(K11,$A$2:$A$44,1)):INDEX($A$2:$A$44,MATCH(K11,$A$2:$A$44,1)+1))</f>
        <v>19.472000000000001</v>
      </c>
      <c r="M11" s="96">
        <f t="shared" si="1"/>
        <v>1.5</v>
      </c>
    </row>
    <row r="12" spans="1:25" x14ac:dyDescent="0.25">
      <c r="A12" s="2">
        <v>90</v>
      </c>
      <c r="B12" s="2">
        <v>42</v>
      </c>
      <c r="E12" t="s">
        <v>121</v>
      </c>
      <c r="F12" s="104">
        <f>SUM('Riser Calculation'!AO5)</f>
        <v>18.8</v>
      </c>
      <c r="G12" s="96">
        <f>FORECAST(F12,INDEX($B$2:$B$44,MATCH(F12,$A$2:$A$44,1)):INDEX($B$2:$B$44,MATCH(F12,$A$2:$A$44,1)+1),INDEX($A$2:$A$44,MATCH(F12,$A$2:$A$44,1)):INDEX($A$2:$A$44,MATCH(F12,$A$2:$A$44,1)+1))</f>
        <v>18.969333333333331</v>
      </c>
      <c r="H12" s="96">
        <f t="shared" si="0"/>
        <v>1.5</v>
      </c>
      <c r="J12" t="s">
        <v>122</v>
      </c>
      <c r="K12" s="104">
        <f>SUM('Riser Calculation'!AR5)</f>
        <v>19.600000000000001</v>
      </c>
      <c r="L12" s="96">
        <f>FORECAST(K12,INDEX($B$2:$B$44,MATCH(K12,$A$2:$A$44,1)):INDEX($B$2:$B$44,MATCH(K12,$A$2:$A$44,1)+1),INDEX($A$2:$A$44,MATCH(K12,$A$2:$A$44,1)):INDEX($A$2:$A$44,MATCH(K12,$A$2:$A$44,1)+1))</f>
        <v>19.278666666666666</v>
      </c>
      <c r="M12" s="96">
        <f t="shared" si="1"/>
        <v>1.5</v>
      </c>
    </row>
    <row r="13" spans="1:25" x14ac:dyDescent="0.25">
      <c r="A13" s="2">
        <v>100</v>
      </c>
      <c r="B13" s="2">
        <v>45</v>
      </c>
      <c r="E13" t="s">
        <v>123</v>
      </c>
      <c r="F13" s="104">
        <f>SUM('Riser Calculation'!AU5)</f>
        <v>18.8</v>
      </c>
      <c r="G13" s="96">
        <f>FORECAST(F13,INDEX($B$2:$B$44,MATCH(F13,$A$2:$A$44,1)):INDEX($B$2:$B$44,MATCH(F13,$A$2:$A$44,1)+1),INDEX($A$2:$A$44,MATCH(F13,$A$2:$A$44,1)):INDEX($A$2:$A$44,MATCH(F13,$A$2:$A$44,1)+1))</f>
        <v>18.969333333333331</v>
      </c>
      <c r="H13" s="96">
        <f t="shared" si="0"/>
        <v>1.5</v>
      </c>
      <c r="J13" t="s">
        <v>124</v>
      </c>
      <c r="K13" s="104">
        <f>SUM('Riser Calculation'!AX5)</f>
        <v>19.600000000000001</v>
      </c>
      <c r="L13" s="96">
        <f>FORECAST(K13,INDEX($B$2:$B$44,MATCH(K13,$A$2:$A$44,1)):INDEX($B$2:$B$44,MATCH(K13,$A$2:$A$44,1)+1),INDEX($A$2:$A$44,MATCH(K13,$A$2:$A$44,1)):INDEX($A$2:$A$44,MATCH(K13,$A$2:$A$44,1)+1))</f>
        <v>19.278666666666666</v>
      </c>
      <c r="M13" s="96">
        <f t="shared" si="1"/>
        <v>1.5</v>
      </c>
    </row>
    <row r="14" spans="1:25" x14ac:dyDescent="0.25">
      <c r="A14" s="2">
        <v>110</v>
      </c>
      <c r="B14" s="2">
        <v>47</v>
      </c>
    </row>
    <row r="15" spans="1:25" x14ac:dyDescent="0.25">
      <c r="A15" s="2">
        <v>120</v>
      </c>
      <c r="B15" s="2">
        <v>49</v>
      </c>
    </row>
    <row r="16" spans="1:25" ht="15.75" thickBot="1" x14ac:dyDescent="0.3">
      <c r="A16" s="2">
        <v>130</v>
      </c>
      <c r="B16" s="2">
        <v>51</v>
      </c>
      <c r="E16" t="s">
        <v>238</v>
      </c>
      <c r="F16" t="s">
        <v>209</v>
      </c>
      <c r="G16" t="s">
        <v>210</v>
      </c>
      <c r="H16" s="288" t="s">
        <v>214</v>
      </c>
      <c r="I16" s="288"/>
      <c r="J16" s="288"/>
      <c r="K16" s="288"/>
      <c r="L16" s="288"/>
      <c r="M16" s="288"/>
      <c r="N16" s="288"/>
      <c r="O16" s="288"/>
      <c r="P16" s="288"/>
      <c r="Q16" s="288"/>
      <c r="R16" s="288"/>
      <c r="S16" s="288"/>
      <c r="T16" s="288"/>
      <c r="U16" s="288"/>
      <c r="V16" s="95" t="s">
        <v>137</v>
      </c>
      <c r="W16" t="s">
        <v>32</v>
      </c>
      <c r="X16" t="s">
        <v>0</v>
      </c>
      <c r="Y16" t="s">
        <v>126</v>
      </c>
    </row>
    <row r="17" spans="1:25" x14ac:dyDescent="0.25">
      <c r="A17" s="2">
        <v>140</v>
      </c>
      <c r="B17" s="2">
        <v>53</v>
      </c>
      <c r="E17" s="60">
        <v>1</v>
      </c>
      <c r="F17" s="129" t="s">
        <v>213</v>
      </c>
      <c r="G17" s="130" t="s">
        <v>86</v>
      </c>
      <c r="H17" s="120" t="s">
        <v>130</v>
      </c>
      <c r="I17" s="121" t="s">
        <v>131</v>
      </c>
      <c r="J17" s="121" t="s">
        <v>132</v>
      </c>
      <c r="K17" s="121" t="s">
        <v>133</v>
      </c>
      <c r="L17" s="121" t="s">
        <v>134</v>
      </c>
      <c r="M17" s="121" t="s">
        <v>135</v>
      </c>
      <c r="N17" s="121" t="s">
        <v>136</v>
      </c>
      <c r="O17" s="121" t="s">
        <v>158</v>
      </c>
      <c r="P17" s="121" t="s">
        <v>159</v>
      </c>
      <c r="Q17" s="121" t="s">
        <v>160</v>
      </c>
      <c r="R17" s="121"/>
      <c r="S17" s="121"/>
      <c r="T17" s="121"/>
      <c r="U17" s="122"/>
      <c r="V17" s="131"/>
      <c r="W17" s="172">
        <f>SUM(F35:S35)</f>
        <v>243.20000000000005</v>
      </c>
      <c r="X17" s="173">
        <f>FORECAST(W17,INDEX($B$2:$B$44,MATCH(W17,$A$2:$A$44,1)):INDEX($B$2:$B$44,MATCH(W17,$A$2:$A$44,1)+1),INDEX($A$2:$A$44,MATCH(W17,$A$2:$A$44,1)):INDEX($A$2:$A$44,MATCH(W17,$A$2:$A$44,1)+1))</f>
        <v>75.960000000000008</v>
      </c>
      <c r="Y17" s="174">
        <f>IF(AND(X17&lt;=750,X17&gt;250),6,IF(AND(X17&lt;=250,X17&gt;120),4,IF(AND(X17&lt;=120,X17&gt;75),3,IF(AND(X17&lt;=75,X17&gt;40),2.5,IF(AND(X17&lt;=40,X17&gt;20),2,IF(AND(X17&lt;=20,X17&gt;14),1.5,IF(AND(X17&lt;=14,X17&gt;7),1.25,IF(AND(X17&lt;=7,X17&gt;3.5),1,IF(AND(X17&lt;=3.5,X17&gt;1.7),0.75,IF(AND(X17&lt;=1.7,X17&gt;0),0.5))))))))))</f>
        <v>3</v>
      </c>
    </row>
    <row r="18" spans="1:25" x14ac:dyDescent="0.25">
      <c r="A18" s="2">
        <v>150</v>
      </c>
      <c r="B18" s="2">
        <v>55</v>
      </c>
      <c r="E18" s="60">
        <v>2</v>
      </c>
      <c r="F18" s="131" t="s">
        <v>86</v>
      </c>
      <c r="G18" s="132" t="s">
        <v>87</v>
      </c>
      <c r="H18" s="123" t="s">
        <v>130</v>
      </c>
      <c r="I18" s="124" t="s">
        <v>131</v>
      </c>
      <c r="J18" s="124" t="s">
        <v>132</v>
      </c>
      <c r="K18" s="124" t="s">
        <v>134</v>
      </c>
      <c r="L18" s="124" t="s">
        <v>135</v>
      </c>
      <c r="M18" s="124" t="s">
        <v>136</v>
      </c>
      <c r="N18" s="124" t="s">
        <v>158</v>
      </c>
      <c r="O18" s="124" t="s">
        <v>159</v>
      </c>
      <c r="P18" s="124" t="s">
        <v>160</v>
      </c>
      <c r="Q18" s="124"/>
      <c r="R18" s="124"/>
      <c r="S18" s="124"/>
      <c r="T18" s="124"/>
      <c r="U18" s="125"/>
      <c r="V18" s="131"/>
      <c r="W18" s="175">
        <f t="shared" ref="W18:W31" si="2">SUM(F36:S36)</f>
        <v>219.70000000000002</v>
      </c>
      <c r="X18" s="176">
        <f>FORECAST(W18,INDEX($B$2:$B$44,MATCH(W18,$A$2:$A$44,1)):INDEX($B$2:$B$44,MATCH(W18,$A$2:$A$44,1)+1),INDEX($A$2:$A$44,MATCH(W18,$A$2:$A$44,1)):INDEX($A$2:$A$44,MATCH(W18,$A$2:$A$44,1)+1))</f>
        <v>69.954999999999998</v>
      </c>
      <c r="Y18" s="177">
        <f t="shared" ref="Y18:Y31" si="3">IF(AND(X18&lt;=750,X18&gt;250),6,IF(AND(X18&lt;=250,X18&gt;120),4,IF(AND(X18&lt;=120,X18&gt;75),3,IF(AND(X18&lt;=75,X18&gt;40),2.5,IF(AND(X18&lt;=40,X18&gt;20),2,IF(AND(X18&lt;=20,X18&gt;14),1.5,IF(AND(X18&lt;=14,X18&gt;7),1.25,IF(AND(X18&lt;=7,X18&gt;3.5),1,IF(AND(X18&lt;=3.5,X18&gt;1.7),0.75,IF(AND(X18&lt;=1.7,X18&gt;0),0.5))))))))))</f>
        <v>2.5</v>
      </c>
    </row>
    <row r="19" spans="1:25" x14ac:dyDescent="0.25">
      <c r="A19" s="2">
        <v>160</v>
      </c>
      <c r="B19" s="2">
        <v>58</v>
      </c>
      <c r="E19" s="60">
        <v>3</v>
      </c>
      <c r="F19" s="131" t="s">
        <v>88</v>
      </c>
      <c r="G19" s="132" t="s">
        <v>89</v>
      </c>
      <c r="H19" s="126"/>
      <c r="I19" s="127"/>
      <c r="J19" s="127"/>
      <c r="K19" s="127"/>
      <c r="L19" s="127"/>
      <c r="M19" s="127"/>
      <c r="N19" s="127"/>
      <c r="O19" s="127"/>
      <c r="P19" s="127"/>
      <c r="Q19" s="127"/>
      <c r="R19" s="127"/>
      <c r="S19" s="127"/>
      <c r="T19" s="127"/>
      <c r="U19" s="128"/>
      <c r="V19" s="131"/>
      <c r="W19" s="175">
        <f t="shared" si="2"/>
        <v>0</v>
      </c>
      <c r="X19" s="176" t="e">
        <f>FORECAST(W19,INDEX($B$2:$B$44,MATCH(W19,$A$2:$A$44,1)):INDEX($B$2:$B$44,MATCH(W19,$A$2:$A$44,1)+1),INDEX($A$2:$A$44,MATCH(W19,$A$2:$A$44,1)):INDEX($A$2:$A$44,MATCH(W19,$A$2:$A$44,1)+1))</f>
        <v>#N/A</v>
      </c>
      <c r="Y19" s="177" t="e">
        <f t="shared" si="3"/>
        <v>#N/A</v>
      </c>
    </row>
    <row r="20" spans="1:25" ht="15.75" customHeight="1" x14ac:dyDescent="0.25">
      <c r="A20" s="2">
        <v>170</v>
      </c>
      <c r="B20" s="2">
        <v>60</v>
      </c>
      <c r="E20" s="60">
        <v>4</v>
      </c>
      <c r="F20" s="131" t="s">
        <v>89</v>
      </c>
      <c r="G20" s="132" t="s">
        <v>90</v>
      </c>
      <c r="H20" s="123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5"/>
      <c r="V20" s="131"/>
      <c r="W20" s="175">
        <f t="shared" si="2"/>
        <v>0</v>
      </c>
      <c r="X20" s="176" t="e">
        <f>FORECAST(W20,INDEX($B$2:$B$44,MATCH(W20,$A$2:$A$44,1)):INDEX($B$2:$B$44,MATCH(W20,$A$2:$A$44,1)+1),INDEX($A$2:$A$44,MATCH(W20,$A$2:$A$44,1)):INDEX($A$2:$A$44,MATCH(W20,$A$2:$A$44,1)+1))</f>
        <v>#N/A</v>
      </c>
      <c r="Y20" s="177" t="e">
        <f t="shared" si="3"/>
        <v>#N/A</v>
      </c>
    </row>
    <row r="21" spans="1:25" ht="15.75" customHeight="1" x14ac:dyDescent="0.25">
      <c r="A21" s="2">
        <v>180</v>
      </c>
      <c r="B21" s="2">
        <v>62</v>
      </c>
      <c r="E21" s="60">
        <v>5</v>
      </c>
      <c r="F21" s="131" t="s">
        <v>90</v>
      </c>
      <c r="G21" s="132" t="s">
        <v>223</v>
      </c>
      <c r="H21" s="126"/>
      <c r="I21" s="127"/>
      <c r="J21" s="127"/>
      <c r="K21" s="127"/>
      <c r="L21" s="127"/>
      <c r="M21" s="127"/>
      <c r="N21" s="127"/>
      <c r="O21" s="127"/>
      <c r="P21" s="127"/>
      <c r="Q21" s="127"/>
      <c r="R21" s="127"/>
      <c r="S21" s="127"/>
      <c r="T21" s="127"/>
      <c r="U21" s="128"/>
      <c r="V21" s="131"/>
      <c r="W21" s="175">
        <f t="shared" si="2"/>
        <v>0</v>
      </c>
      <c r="X21" s="176" t="e">
        <f>FORECAST(W21,INDEX($B$2:$B$44,MATCH(W21,$A$2:$A$44,1)):INDEX($B$2:$B$44,MATCH(W21,$A$2:$A$44,1)+1),INDEX($A$2:$A$44,MATCH(W21,$A$2:$A$44,1)):INDEX($A$2:$A$44,MATCH(W21,$A$2:$A$44,1)+1))</f>
        <v>#N/A</v>
      </c>
      <c r="Y21" s="177" t="e">
        <f t="shared" si="3"/>
        <v>#N/A</v>
      </c>
    </row>
    <row r="22" spans="1:25" ht="15.75" customHeight="1" x14ac:dyDescent="0.25">
      <c r="A22" s="2">
        <v>190</v>
      </c>
      <c r="B22" s="2">
        <v>65</v>
      </c>
      <c r="E22" s="60">
        <v>6</v>
      </c>
      <c r="F22" s="131" t="s">
        <v>87</v>
      </c>
      <c r="G22" s="132" t="s">
        <v>44</v>
      </c>
      <c r="H22" s="123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5"/>
      <c r="V22" s="131"/>
      <c r="W22" s="175">
        <f t="shared" si="2"/>
        <v>0</v>
      </c>
      <c r="X22" s="176" t="e">
        <f>FORECAST(W22,INDEX($B$2:$B$44,MATCH(W22,$A$2:$A$44,1)):INDEX($B$2:$B$44,MATCH(W22,$A$2:$A$44,1)+1),INDEX($A$2:$A$44,MATCH(W22,$A$2:$A$44,1)):INDEX($A$2:$A$44,MATCH(W22,$A$2:$A$44,1)+1))</f>
        <v>#N/A</v>
      </c>
      <c r="Y22" s="177" t="e">
        <f t="shared" si="3"/>
        <v>#N/A</v>
      </c>
    </row>
    <row r="23" spans="1:25" ht="15.75" customHeight="1" x14ac:dyDescent="0.25">
      <c r="A23" s="2">
        <v>200</v>
      </c>
      <c r="B23" s="2">
        <v>67</v>
      </c>
      <c r="E23" s="60">
        <v>7</v>
      </c>
      <c r="F23" s="131" t="s">
        <v>44</v>
      </c>
      <c r="G23" s="132" t="s">
        <v>240</v>
      </c>
      <c r="H23" s="126"/>
      <c r="I23" s="127"/>
      <c r="J23" s="127"/>
      <c r="K23" s="127"/>
      <c r="L23" s="127"/>
      <c r="M23" s="127"/>
      <c r="N23" s="127"/>
      <c r="O23" s="127"/>
      <c r="P23" s="127"/>
      <c r="Q23" s="127"/>
      <c r="R23" s="127"/>
      <c r="S23" s="127"/>
      <c r="T23" s="127"/>
      <c r="U23" s="128"/>
      <c r="V23" s="131"/>
      <c r="W23" s="175">
        <f t="shared" si="2"/>
        <v>0</v>
      </c>
      <c r="X23" s="176" t="e">
        <f>FORECAST(W23,INDEX($B$2:$B$44,MATCH(W23,$A$2:$A$44,1)):INDEX($B$2:$B$44,MATCH(W23,$A$2:$A$44,1)+1),INDEX($A$2:$A$44,MATCH(W23,$A$2:$A$44,1)):INDEX($A$2:$A$44,MATCH(W23,$A$2:$A$44,1)+1))</f>
        <v>#N/A</v>
      </c>
      <c r="Y23" s="177" t="e">
        <f t="shared" si="3"/>
        <v>#N/A</v>
      </c>
    </row>
    <row r="24" spans="1:25" ht="15.75" customHeight="1" x14ac:dyDescent="0.25">
      <c r="A24" s="2">
        <v>210</v>
      </c>
      <c r="B24" s="2">
        <v>68.5</v>
      </c>
      <c r="E24" s="60">
        <v>8</v>
      </c>
      <c r="F24" s="131"/>
      <c r="G24" s="132"/>
      <c r="H24" s="123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5"/>
      <c r="V24" s="131"/>
      <c r="W24" s="175">
        <f t="shared" si="2"/>
        <v>0</v>
      </c>
      <c r="X24" s="176" t="e">
        <f>FORECAST(W24,INDEX($B$2:$B$44,MATCH(W24,$A$2:$A$44,1)):INDEX($B$2:$B$44,MATCH(W24,$A$2:$A$44,1)+1),INDEX($A$2:$A$44,MATCH(W24,$A$2:$A$44,1)):INDEX($A$2:$A$44,MATCH(W24,$A$2:$A$44,1)+1))</f>
        <v>#N/A</v>
      </c>
      <c r="Y24" s="177" t="e">
        <f t="shared" si="3"/>
        <v>#N/A</v>
      </c>
    </row>
    <row r="25" spans="1:25" ht="15.75" customHeight="1" x14ac:dyDescent="0.25">
      <c r="A25" s="2">
        <v>220</v>
      </c>
      <c r="B25" s="2">
        <v>70</v>
      </c>
      <c r="E25" s="60">
        <v>9</v>
      </c>
      <c r="F25" s="131"/>
      <c r="G25" s="132"/>
      <c r="H25" s="126"/>
      <c r="I25" s="127"/>
      <c r="J25" s="127"/>
      <c r="K25" s="127"/>
      <c r="L25" s="127"/>
      <c r="M25" s="127"/>
      <c r="N25" s="127"/>
      <c r="O25" s="127"/>
      <c r="P25" s="127"/>
      <c r="Q25" s="127"/>
      <c r="R25" s="127"/>
      <c r="S25" s="127"/>
      <c r="T25" s="127"/>
      <c r="U25" s="128"/>
      <c r="V25" s="131"/>
      <c r="W25" s="175">
        <f t="shared" si="2"/>
        <v>0</v>
      </c>
      <c r="X25" s="176" t="e">
        <f>FORECAST(W25,INDEX($B$2:$B$44,MATCH(W25,$A$2:$A$44,1)):INDEX($B$2:$B$44,MATCH(W25,$A$2:$A$44,1)+1),INDEX($A$2:$A$44,MATCH(W25,$A$2:$A$44,1)):INDEX($A$2:$A$44,MATCH(W25,$A$2:$A$44,1)+1))</f>
        <v>#N/A</v>
      </c>
      <c r="Y25" s="177" t="e">
        <f t="shared" si="3"/>
        <v>#N/A</v>
      </c>
    </row>
    <row r="26" spans="1:25" ht="15.75" customHeight="1" x14ac:dyDescent="0.25">
      <c r="A26" s="2">
        <v>230</v>
      </c>
      <c r="B26" s="2">
        <v>72</v>
      </c>
      <c r="E26" s="60">
        <v>10</v>
      </c>
      <c r="F26" s="131"/>
      <c r="G26" s="132"/>
      <c r="H26" s="123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5"/>
      <c r="V26" s="131"/>
      <c r="W26" s="175">
        <f t="shared" si="2"/>
        <v>0</v>
      </c>
      <c r="X26" s="176" t="e">
        <f>FORECAST(W26,INDEX($B$2:$B$44,MATCH(W26,$A$2:$A$44,1)):INDEX($B$2:$B$44,MATCH(W26,$A$2:$A$44,1)+1),INDEX($A$2:$A$44,MATCH(W26,$A$2:$A$44,1)):INDEX($A$2:$A$44,MATCH(W26,$A$2:$A$44,1)+1))</f>
        <v>#N/A</v>
      </c>
      <c r="Y26" s="177" t="e">
        <f t="shared" si="3"/>
        <v>#N/A</v>
      </c>
    </row>
    <row r="27" spans="1:25" ht="15.75" customHeight="1" x14ac:dyDescent="0.25">
      <c r="A27" s="2">
        <v>240</v>
      </c>
      <c r="B27" s="2">
        <v>75</v>
      </c>
      <c r="E27" s="60">
        <v>11</v>
      </c>
      <c r="F27" s="131"/>
      <c r="G27" s="132"/>
      <c r="H27" s="126"/>
      <c r="I27" s="127"/>
      <c r="J27" s="127"/>
      <c r="K27" s="127"/>
      <c r="L27" s="127"/>
      <c r="M27" s="127"/>
      <c r="N27" s="127"/>
      <c r="O27" s="127"/>
      <c r="P27" s="127"/>
      <c r="Q27" s="127"/>
      <c r="R27" s="127"/>
      <c r="S27" s="127"/>
      <c r="T27" s="127"/>
      <c r="U27" s="128"/>
      <c r="V27" s="131"/>
      <c r="W27" s="175">
        <f t="shared" si="2"/>
        <v>0</v>
      </c>
      <c r="X27" s="176" t="e">
        <f>FORECAST(W27,INDEX($B$2:$B$44,MATCH(W27,$A$2:$A$44,1)):INDEX($B$2:$B$44,MATCH(W27,$A$2:$A$44,1)+1),INDEX($A$2:$A$44,MATCH(W27,$A$2:$A$44,1)):INDEX($A$2:$A$44,MATCH(W27,$A$2:$A$44,1)+1))</f>
        <v>#N/A</v>
      </c>
      <c r="Y27" s="177" t="e">
        <f t="shared" si="3"/>
        <v>#N/A</v>
      </c>
    </row>
    <row r="28" spans="1:25" ht="15.75" customHeight="1" x14ac:dyDescent="0.25">
      <c r="A28" s="2">
        <v>250</v>
      </c>
      <c r="B28" s="2">
        <v>78</v>
      </c>
      <c r="E28" s="60">
        <v>12</v>
      </c>
      <c r="F28" s="131"/>
      <c r="G28" s="132"/>
      <c r="H28" s="123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5"/>
      <c r="V28" s="131"/>
      <c r="W28" s="175">
        <f t="shared" si="2"/>
        <v>0</v>
      </c>
      <c r="X28" s="176" t="e">
        <f>FORECAST(W28,INDEX($B$2:$B$44,MATCH(W28,$A$2:$A$44,1)):INDEX($B$2:$B$44,MATCH(W28,$A$2:$A$44,1)+1),INDEX($A$2:$A$44,MATCH(W28,$A$2:$A$44,1)):INDEX($A$2:$A$44,MATCH(W28,$A$2:$A$44,1)+1))</f>
        <v>#N/A</v>
      </c>
      <c r="Y28" s="177" t="e">
        <f t="shared" si="3"/>
        <v>#N/A</v>
      </c>
    </row>
    <row r="29" spans="1:25" ht="15.75" customHeight="1" x14ac:dyDescent="0.25">
      <c r="A29" s="2">
        <v>300</v>
      </c>
      <c r="B29" s="2">
        <v>80</v>
      </c>
      <c r="E29" s="60">
        <v>13</v>
      </c>
      <c r="F29" s="131"/>
      <c r="G29" s="132"/>
      <c r="H29" s="126"/>
      <c r="I29" s="127"/>
      <c r="J29" s="127"/>
      <c r="K29" s="127"/>
      <c r="L29" s="127"/>
      <c r="M29" s="127"/>
      <c r="N29" s="127"/>
      <c r="O29" s="127"/>
      <c r="P29" s="127"/>
      <c r="Q29" s="127"/>
      <c r="R29" s="127"/>
      <c r="S29" s="127"/>
      <c r="T29" s="127"/>
      <c r="U29" s="128"/>
      <c r="V29" s="131"/>
      <c r="W29" s="175">
        <f t="shared" si="2"/>
        <v>0</v>
      </c>
      <c r="X29" s="176" t="e">
        <f>FORECAST(W29,INDEX($B$2:$B$44,MATCH(W29,$A$2:$A$44,1)):INDEX($B$2:$B$44,MATCH(W29,$A$2:$A$44,1)+1),INDEX($A$2:$A$44,MATCH(W29,$A$2:$A$44,1)):INDEX($A$2:$A$44,MATCH(W29,$A$2:$A$44,1)+1))</f>
        <v>#N/A</v>
      </c>
      <c r="Y29" s="177" t="e">
        <f t="shared" si="3"/>
        <v>#N/A</v>
      </c>
    </row>
    <row r="30" spans="1:25" ht="15.75" customHeight="1" x14ac:dyDescent="0.25">
      <c r="A30" s="2">
        <v>400</v>
      </c>
      <c r="B30" s="2">
        <v>110</v>
      </c>
      <c r="E30" s="60">
        <v>14</v>
      </c>
      <c r="F30" s="131"/>
      <c r="G30" s="132"/>
      <c r="H30" s="123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5"/>
      <c r="V30" s="131"/>
      <c r="W30" s="175">
        <f t="shared" si="2"/>
        <v>0</v>
      </c>
      <c r="X30" s="176" t="e">
        <f>FORECAST(W30,INDEX($B$2:$B$44,MATCH(W30,$A$2:$A$44,1)):INDEX($B$2:$B$44,MATCH(W30,$A$2:$A$44,1)+1),INDEX($A$2:$A$44,MATCH(W30,$A$2:$A$44,1)):INDEX($A$2:$A$44,MATCH(W30,$A$2:$A$44,1)+1))</f>
        <v>#N/A</v>
      </c>
      <c r="Y30" s="177" t="e">
        <f t="shared" si="3"/>
        <v>#N/A</v>
      </c>
    </row>
    <row r="31" spans="1:25" ht="15.75" customHeight="1" thickBot="1" x14ac:dyDescent="0.3">
      <c r="A31" s="2">
        <v>500</v>
      </c>
      <c r="B31" s="2">
        <v>125</v>
      </c>
      <c r="E31" s="60">
        <v>15</v>
      </c>
      <c r="F31" s="133"/>
      <c r="G31" s="134"/>
      <c r="H31" s="126"/>
      <c r="I31" s="127"/>
      <c r="J31" s="127"/>
      <c r="K31" s="127"/>
      <c r="L31" s="127"/>
      <c r="M31" s="127"/>
      <c r="N31" s="127"/>
      <c r="O31" s="127"/>
      <c r="P31" s="127"/>
      <c r="Q31" s="127"/>
      <c r="R31" s="127"/>
      <c r="S31" s="127"/>
      <c r="T31" s="127"/>
      <c r="U31" s="128"/>
      <c r="V31" s="131"/>
      <c r="W31" s="178">
        <f t="shared" si="2"/>
        <v>0</v>
      </c>
      <c r="X31" s="179" t="e">
        <f>FORECAST(W31,INDEX($B$2:$B$44,MATCH(W31,$A$2:$A$44,1)):INDEX($B$2:$B$44,MATCH(W31,$A$2:$A$44,1)+1),INDEX($A$2:$A$44,MATCH(W31,$A$2:$A$44,1)):INDEX($A$2:$A$44,MATCH(W31,$A$2:$A$44,1)+1))</f>
        <v>#N/A</v>
      </c>
      <c r="Y31" s="180" t="e">
        <f t="shared" si="3"/>
        <v>#N/A</v>
      </c>
    </row>
    <row r="32" spans="1:25" ht="15.75" customHeight="1" x14ac:dyDescent="0.25">
      <c r="A32" s="2">
        <v>600</v>
      </c>
      <c r="B32" s="2">
        <v>150</v>
      </c>
    </row>
    <row r="33" spans="1:19" ht="14.25" customHeight="1" x14ac:dyDescent="0.25">
      <c r="A33" s="2">
        <v>700</v>
      </c>
      <c r="B33" s="2">
        <v>170</v>
      </c>
      <c r="M33" s="2"/>
      <c r="N33" s="2"/>
      <c r="O33" s="2"/>
      <c r="P33" s="2"/>
      <c r="Q33" s="2"/>
    </row>
    <row r="34" spans="1:19" ht="15.75" customHeight="1" x14ac:dyDescent="0.25">
      <c r="A34" s="2">
        <v>800</v>
      </c>
      <c r="B34" s="2">
        <v>180</v>
      </c>
      <c r="E34" s="290" t="s">
        <v>176</v>
      </c>
      <c r="F34" s="290"/>
      <c r="G34" s="290"/>
      <c r="H34" s="290"/>
      <c r="I34" s="290"/>
      <c r="J34" s="290"/>
      <c r="K34" s="290"/>
      <c r="L34" s="290"/>
      <c r="M34" s="290"/>
      <c r="N34" s="290"/>
      <c r="O34" s="290"/>
      <c r="P34" s="290"/>
      <c r="Q34" s="290"/>
      <c r="R34" s="290"/>
      <c r="S34" s="290"/>
    </row>
    <row r="35" spans="1:19" ht="15.75" customHeight="1" x14ac:dyDescent="0.25">
      <c r="A35" s="2">
        <v>900</v>
      </c>
      <c r="B35" s="2">
        <v>200</v>
      </c>
      <c r="E35" s="60" t="s">
        <v>141</v>
      </c>
      <c r="F35" s="203">
        <f>IF(H17="R1",$B$47,IF(H17="R2",$B$48,IF(H17="R3",$B$49,IF(H17="R4",$B$50,IF(H17="R5",$B$51,IF(H17="R6",$B$52,IF(H17="R7",$B$53,IF(H17="R8",$B$54,IF(H17="R9",$B$55,IF(H17="R10",$B$56,IF(H17="R11",$B$57,IF(H17="R12",$B$58,IF(H17="R13",$B$59,IF(H17="R14",$B$60,0))))))))))))))</f>
        <v>34.300000000000004</v>
      </c>
      <c r="G35" s="204">
        <f t="shared" ref="G35:Q35" si="4">IF(I17="R1",$B$47,IF(I17="R2",$B$48,IF(I17="R3",$B$49,IF(I17="R4",$B$50,IF(I17="R5",$B$51,IF(I17="R6",$B$52,IF(I17="R7",$B$53,IF(I17="R8",$B$54,IF(I17="R9",$B$55,IF(I17="R10",$B$56,IF(I17="R11",$B$57,IF(I17="R12",$B$58,IF(I17="R13",$B$59,IF(I17="R14",$B$60,0))))))))))))))</f>
        <v>23.5</v>
      </c>
      <c r="H35" s="204">
        <f t="shared" si="4"/>
        <v>23.5</v>
      </c>
      <c r="I35" s="204">
        <f t="shared" si="4"/>
        <v>23.5</v>
      </c>
      <c r="J35" s="204">
        <f t="shared" si="4"/>
        <v>18.8</v>
      </c>
      <c r="K35" s="204">
        <f t="shared" si="4"/>
        <v>21.5</v>
      </c>
      <c r="L35" s="204">
        <f t="shared" si="4"/>
        <v>18.8</v>
      </c>
      <c r="M35" s="204">
        <f t="shared" si="4"/>
        <v>18.8</v>
      </c>
      <c r="N35" s="204">
        <f t="shared" si="4"/>
        <v>23.5</v>
      </c>
      <c r="O35" s="204">
        <f t="shared" si="4"/>
        <v>37</v>
      </c>
      <c r="P35" s="204">
        <f t="shared" si="4"/>
        <v>0</v>
      </c>
      <c r="Q35" s="204">
        <f t="shared" si="4"/>
        <v>0</v>
      </c>
      <c r="R35" s="204">
        <f>IF(T17="R1",$B$47,IF(T17="R2",$B$48,IF(T17="R3",$B$49,IF(T17="R4",$B$50,IF(T17="R5",$B$51,IF(T17="R6",$B$52,IF(T17="R7",$B$53,IF(T17="R8",$B$54,IF(T17="R9",$B$55,IF(T17="R10",$B$56,IF(T17="R11",$B$57,IF(T17="R12",$B$58,IF(T17="R13",$B$59,IF(T17="R14",$B$60,0))))))))))))))</f>
        <v>0</v>
      </c>
      <c r="S35" s="205">
        <f>IF(U17="R1",$B$47,IF(U17="R2",$B$48,IF(U17="R3",$B$49,IF(U17="R4",$B$50,IF(U17="R5",$B$51,IF(U17="R6",$B$52,IF(U17="R7",$B$53,IF(U17="R8",$B$54,IF(U17="R9",$B$55,IF(U17="R10",$B$56,IF(U17="R11",$B$57,IF(U17="R12",$B$58,IF(U17="R13",$B$59,IF(U17="R14",$B$60,0))))))))))))))</f>
        <v>0</v>
      </c>
    </row>
    <row r="36" spans="1:19" ht="15.75" customHeight="1" x14ac:dyDescent="0.25">
      <c r="A36" s="2">
        <v>1000</v>
      </c>
      <c r="B36" s="2">
        <v>220</v>
      </c>
      <c r="E36" s="60" t="s">
        <v>142</v>
      </c>
      <c r="F36" s="126">
        <f t="shared" ref="F36:F49" si="5">IF(H18="R1",$B$47,IF(H18="R2",$B$48,IF(H18="R3",$B$49,IF(H18="R4",$B$50,IF(H18="R5",$B$51,IF(H18="R6",$B$52,IF(H18="R7",$B$53,IF(H18="R8",$B$54,IF(H18="R9",$B$55,IF(H18="R10",$B$56,IF(H18="R11",$B$57,IF(H18="R12",$B$58,IF(H18="R13",$B$59,IF(H18="R14",$B$60,0))))))))))))))</f>
        <v>34.300000000000004</v>
      </c>
      <c r="G36" s="127">
        <f t="shared" ref="G36:G49" si="6">IF(I18="R1",$B$47,IF(I18="R2",$B$48,IF(I18="R3",$B$49,IF(I18="R4",$B$50,IF(I18="R5",$B$51,IF(I18="R6",$B$52,IF(I18="R7",$B$53,IF(I18="R8",$B$54,IF(I18="R9",$B$55,IF(I18="R10",$B$56,IF(I18="R11",$B$57,IF(I18="R12",$B$58,IF(I18="R13",$B$59,IF(I18="R14",$B$60,0))))))))))))))</f>
        <v>23.5</v>
      </c>
      <c r="H36" s="127">
        <f t="shared" ref="H36:H49" si="7">IF(J18="R1",$B$47,IF(J18="R2",$B$48,IF(J18="R3",$B$49,IF(J18="R4",$B$50,IF(J18="R5",$B$51,IF(J18="R6",$B$52,IF(J18="R7",$B$53,IF(J18="R8",$B$54,IF(J18="R9",$B$55,IF(J18="R10",$B$56,IF(J18="R11",$B$57,IF(J18="R12",$B$58,IF(J18="R13",$B$59,IF(J18="R14",$B$60,0))))))))))))))</f>
        <v>23.5</v>
      </c>
      <c r="I36" s="127">
        <f t="shared" ref="I36:I49" si="8">IF(K18="R1",$B$47,IF(K18="R2",$B$48,IF(K18="R3",$B$49,IF(K18="R4",$B$50,IF(K18="R5",$B$51,IF(K18="R6",$B$52,IF(K18="R7",$B$53,IF(K18="R8",$B$54,IF(K18="R9",$B$55,IF(K18="R10",$B$56,IF(K18="R11",$B$57,IF(K18="R12",$B$58,IF(K18="R13",$B$59,IF(K18="R14",$B$60,0))))))))))))))</f>
        <v>18.8</v>
      </c>
      <c r="J36" s="127">
        <f t="shared" ref="J36:J49" si="9">IF(L18="R1",$B$47,IF(L18="R2",$B$48,IF(L18="R3",$B$49,IF(L18="R4",$B$50,IF(L18="R5",$B$51,IF(L18="R6",$B$52,IF(L18="R7",$B$53,IF(L18="R8",$B$54,IF(L18="R9",$B$55,IF(L18="R10",$B$56,IF(L18="R11",$B$57,IF(L18="R12",$B$58,IF(L18="R13",$B$59,IF(L18="R14",$B$60,0))))))))))))))</f>
        <v>21.5</v>
      </c>
      <c r="K36" s="127">
        <f t="shared" ref="K36:K49" si="10">IF(M18="R1",$B$47,IF(M18="R2",$B$48,IF(M18="R3",$B$49,IF(M18="R4",$B$50,IF(M18="R5",$B$51,IF(M18="R6",$B$52,IF(M18="R7",$B$53,IF(M18="R8",$B$54,IF(M18="R9",$B$55,IF(M18="R10",$B$56,IF(M18="R11",$B$57,IF(M18="R12",$B$58,IF(M18="R13",$B$59,IF(M18="R14",$B$60,0))))))))))))))</f>
        <v>18.8</v>
      </c>
      <c r="L36" s="127">
        <f t="shared" ref="L36:L49" si="11">IF(N18="R1",$B$47,IF(N18="R2",$B$48,IF(N18="R3",$B$49,IF(N18="R4",$B$50,IF(N18="R5",$B$51,IF(N18="R6",$B$52,IF(N18="R7",$B$53,IF(N18="R8",$B$54,IF(N18="R9",$B$55,IF(N18="R10",$B$56,IF(N18="R11",$B$57,IF(N18="R12",$B$58,IF(N18="R13",$B$59,IF(N18="R14",$B$60,0))))))))))))))</f>
        <v>18.8</v>
      </c>
      <c r="M36" s="127">
        <f t="shared" ref="M36:M49" si="12">IF(O18="R1",$B$47,IF(O18="R2",$B$48,IF(O18="R3",$B$49,IF(O18="R4",$B$50,IF(O18="R5",$B$51,IF(O18="R6",$B$52,IF(O18="R7",$B$53,IF(O18="R8",$B$54,IF(O18="R9",$B$55,IF(O18="R10",$B$56,IF(O18="R11",$B$57,IF(O18="R12",$B$58,IF(O18="R13",$B$59,IF(O18="R14",$B$60,0))))))))))))))</f>
        <v>23.5</v>
      </c>
      <c r="N36" s="127">
        <f t="shared" ref="N36:N49" si="13">IF(P18="R1",$B$47,IF(P18="R2",$B$48,IF(P18="R3",$B$49,IF(P18="R4",$B$50,IF(P18="R5",$B$51,IF(P18="R6",$B$52,IF(P18="R7",$B$53,IF(P18="R8",$B$54,IF(P18="R9",$B$55,IF(P18="R10",$B$56,IF(P18="R11",$B$57,IF(P18="R12",$B$58,IF(P18="R13",$B$59,IF(P18="R14",$B$60,0))))))))))))))</f>
        <v>37</v>
      </c>
      <c r="O36" s="127">
        <f t="shared" ref="O36:O49" si="14">IF(Q18="R1",$B$47,IF(Q18="R2",$B$48,IF(Q18="R3",$B$49,IF(Q18="R4",$B$50,IF(Q18="R5",$B$51,IF(Q18="R6",$B$52,IF(Q18="R7",$B$53,IF(Q18="R8",$B$54,IF(Q18="R9",$B$55,IF(Q18="R10",$B$56,IF(Q18="R11",$B$57,IF(Q18="R12",$B$58,IF(Q18="R13",$B$59,IF(Q18="R14",$B$60,0))))))))))))))</f>
        <v>0</v>
      </c>
      <c r="P36" s="127">
        <f t="shared" ref="P36:P49" si="15">IF(R18="R1",$B$47,IF(R18="R2",$B$48,IF(R18="R3",$B$49,IF(R18="R4",$B$50,IF(R18="R5",$B$51,IF(R18="R6",$B$52,IF(R18="R7",$B$53,IF(R18="R8",$B$54,IF(R18="R9",$B$55,IF(R18="R10",$B$56,IF(R18="R11",$B$57,IF(R18="R12",$B$58,IF(R18="R13",$B$59,IF(R18="R14",$B$60,0))))))))))))))</f>
        <v>0</v>
      </c>
      <c r="Q36" s="127">
        <f t="shared" ref="Q36:Q49" si="16">IF(S18="R1",$B$47,IF(S18="R2",$B$48,IF(S18="R3",$B$49,IF(S18="R4",$B$50,IF(S18="R5",$B$51,IF(S18="R6",$B$52,IF(S18="R7",$B$53,IF(S18="R8",$B$54,IF(S18="R9",$B$55,IF(S18="R10",$B$56,IF(S18="R11",$B$57,IF(S18="R12",$B$58,IF(S18="R13",$B$59,IF(S18="R14",$B$60,0))))))))))))))</f>
        <v>0</v>
      </c>
      <c r="R36" s="127">
        <f t="shared" ref="R36:R49" si="17">IF(T18="R1",$B$47,IF(T18="R2",$B$48,IF(T18="R3",$B$49,IF(T18="R4",$B$50,IF(T18="R5",$B$51,IF(T18="R6",$B$52,IF(T18="R7",$B$53,IF(T18="R8",$B$54,IF(T18="R9",$B$55,IF(T18="R10",$B$56,IF(T18="R11",$B$57,IF(T18="R12",$B$58,IF(T18="R13",$B$59,IF(T18="R14",$B$60,0))))))))))))))</f>
        <v>0</v>
      </c>
      <c r="S36" s="128">
        <f t="shared" ref="S36:S49" si="18">IF(U18="R1",$B$47,IF(U18="R2",$B$48,IF(U18="R3",$B$49,IF(U18="R4",$B$50,IF(U18="R5",$B$51,IF(U18="R6",$B$52,IF(U18="R7",$B$53,IF(U18="R8",$B$54,IF(U18="R9",$B$55,IF(U18="R10",$B$56,IF(U18="R11",$B$57,IF(U18="R12",$B$58,IF(U18="R13",$B$59,IF(U18="R14",$B$60,0))))))))))))))</f>
        <v>0</v>
      </c>
    </row>
    <row r="37" spans="1:19" ht="15.75" customHeight="1" x14ac:dyDescent="0.25">
      <c r="A37" s="2">
        <v>1250</v>
      </c>
      <c r="B37" s="2">
        <v>250</v>
      </c>
      <c r="E37" s="60" t="s">
        <v>143</v>
      </c>
      <c r="F37" s="126">
        <f t="shared" si="5"/>
        <v>0</v>
      </c>
      <c r="G37" s="127">
        <f t="shared" si="6"/>
        <v>0</v>
      </c>
      <c r="H37" s="127">
        <f t="shared" si="7"/>
        <v>0</v>
      </c>
      <c r="I37" s="127">
        <f t="shared" si="8"/>
        <v>0</v>
      </c>
      <c r="J37" s="127">
        <f t="shared" si="9"/>
        <v>0</v>
      </c>
      <c r="K37" s="127">
        <f t="shared" si="10"/>
        <v>0</v>
      </c>
      <c r="L37" s="127">
        <f t="shared" si="11"/>
        <v>0</v>
      </c>
      <c r="M37" s="127">
        <f t="shared" si="12"/>
        <v>0</v>
      </c>
      <c r="N37" s="127">
        <f t="shared" si="13"/>
        <v>0</v>
      </c>
      <c r="O37" s="127">
        <f t="shared" si="14"/>
        <v>0</v>
      </c>
      <c r="P37" s="127">
        <f t="shared" si="15"/>
        <v>0</v>
      </c>
      <c r="Q37" s="127">
        <f t="shared" si="16"/>
        <v>0</v>
      </c>
      <c r="R37" s="127">
        <f t="shared" si="17"/>
        <v>0</v>
      </c>
      <c r="S37" s="128">
        <f t="shared" si="18"/>
        <v>0</v>
      </c>
    </row>
    <row r="38" spans="1:19" ht="15.75" customHeight="1" x14ac:dyDescent="0.25">
      <c r="A38" s="2">
        <v>1500</v>
      </c>
      <c r="B38" s="2">
        <v>270</v>
      </c>
      <c r="E38" s="60" t="s">
        <v>144</v>
      </c>
      <c r="F38" s="126">
        <f t="shared" si="5"/>
        <v>0</v>
      </c>
      <c r="G38" s="127">
        <f t="shared" si="6"/>
        <v>0</v>
      </c>
      <c r="H38" s="127">
        <f t="shared" si="7"/>
        <v>0</v>
      </c>
      <c r="I38" s="127">
        <f t="shared" si="8"/>
        <v>0</v>
      </c>
      <c r="J38" s="127">
        <f t="shared" si="9"/>
        <v>0</v>
      </c>
      <c r="K38" s="127">
        <f t="shared" si="10"/>
        <v>0</v>
      </c>
      <c r="L38" s="127">
        <f t="shared" si="11"/>
        <v>0</v>
      </c>
      <c r="M38" s="127">
        <f t="shared" si="12"/>
        <v>0</v>
      </c>
      <c r="N38" s="127">
        <f t="shared" si="13"/>
        <v>0</v>
      </c>
      <c r="O38" s="127">
        <f t="shared" si="14"/>
        <v>0</v>
      </c>
      <c r="P38" s="127">
        <f t="shared" si="15"/>
        <v>0</v>
      </c>
      <c r="Q38" s="127">
        <f t="shared" si="16"/>
        <v>0</v>
      </c>
      <c r="R38" s="127">
        <f t="shared" si="17"/>
        <v>0</v>
      </c>
      <c r="S38" s="128">
        <f t="shared" si="18"/>
        <v>0</v>
      </c>
    </row>
    <row r="39" spans="1:19" ht="15.75" customHeight="1" x14ac:dyDescent="0.25">
      <c r="A39" s="2">
        <v>1750</v>
      </c>
      <c r="B39" s="2">
        <v>300</v>
      </c>
      <c r="E39" s="60" t="s">
        <v>145</v>
      </c>
      <c r="F39" s="126">
        <f t="shared" si="5"/>
        <v>0</v>
      </c>
      <c r="G39" s="127">
        <f t="shared" si="6"/>
        <v>0</v>
      </c>
      <c r="H39" s="127">
        <f t="shared" si="7"/>
        <v>0</v>
      </c>
      <c r="I39" s="127">
        <f t="shared" si="8"/>
        <v>0</v>
      </c>
      <c r="J39" s="127">
        <f t="shared" si="9"/>
        <v>0</v>
      </c>
      <c r="K39" s="127">
        <f t="shared" si="10"/>
        <v>0</v>
      </c>
      <c r="L39" s="127">
        <f t="shared" si="11"/>
        <v>0</v>
      </c>
      <c r="M39" s="127">
        <f t="shared" si="12"/>
        <v>0</v>
      </c>
      <c r="N39" s="127">
        <f t="shared" si="13"/>
        <v>0</v>
      </c>
      <c r="O39" s="127">
        <f t="shared" si="14"/>
        <v>0</v>
      </c>
      <c r="P39" s="127">
        <f t="shared" si="15"/>
        <v>0</v>
      </c>
      <c r="Q39" s="127">
        <f t="shared" si="16"/>
        <v>0</v>
      </c>
      <c r="R39" s="127">
        <f t="shared" si="17"/>
        <v>0</v>
      </c>
      <c r="S39" s="128">
        <f t="shared" si="18"/>
        <v>0</v>
      </c>
    </row>
    <row r="40" spans="1:19" ht="15.75" customHeight="1" x14ac:dyDescent="0.25">
      <c r="A40" s="2">
        <v>2000</v>
      </c>
      <c r="B40" s="2">
        <v>330</v>
      </c>
      <c r="E40" s="60" t="s">
        <v>146</v>
      </c>
      <c r="F40" s="126">
        <f t="shared" si="5"/>
        <v>0</v>
      </c>
      <c r="G40" s="127">
        <f t="shared" si="6"/>
        <v>0</v>
      </c>
      <c r="H40" s="127">
        <f t="shared" si="7"/>
        <v>0</v>
      </c>
      <c r="I40" s="127">
        <f t="shared" si="8"/>
        <v>0</v>
      </c>
      <c r="J40" s="127">
        <f t="shared" si="9"/>
        <v>0</v>
      </c>
      <c r="K40" s="127">
        <f t="shared" si="10"/>
        <v>0</v>
      </c>
      <c r="L40" s="127">
        <f t="shared" si="11"/>
        <v>0</v>
      </c>
      <c r="M40" s="127">
        <f t="shared" si="12"/>
        <v>0</v>
      </c>
      <c r="N40" s="127">
        <f t="shared" si="13"/>
        <v>0</v>
      </c>
      <c r="O40" s="127">
        <f t="shared" si="14"/>
        <v>0</v>
      </c>
      <c r="P40" s="127">
        <f t="shared" si="15"/>
        <v>0</v>
      </c>
      <c r="Q40" s="127">
        <f t="shared" si="16"/>
        <v>0</v>
      </c>
      <c r="R40" s="127">
        <f t="shared" si="17"/>
        <v>0</v>
      </c>
      <c r="S40" s="128">
        <f t="shared" si="18"/>
        <v>0</v>
      </c>
    </row>
    <row r="41" spans="1:19" ht="15.75" customHeight="1" x14ac:dyDescent="0.25">
      <c r="A41" s="2">
        <v>2250</v>
      </c>
      <c r="B41" s="2">
        <v>350</v>
      </c>
      <c r="E41" s="60" t="s">
        <v>147</v>
      </c>
      <c r="F41" s="126">
        <f t="shared" si="5"/>
        <v>0</v>
      </c>
      <c r="G41" s="127">
        <f t="shared" si="6"/>
        <v>0</v>
      </c>
      <c r="H41" s="127">
        <f t="shared" si="7"/>
        <v>0</v>
      </c>
      <c r="I41" s="127">
        <f t="shared" si="8"/>
        <v>0</v>
      </c>
      <c r="J41" s="127">
        <f t="shared" si="9"/>
        <v>0</v>
      </c>
      <c r="K41" s="127">
        <f t="shared" si="10"/>
        <v>0</v>
      </c>
      <c r="L41" s="127">
        <f t="shared" si="11"/>
        <v>0</v>
      </c>
      <c r="M41" s="127">
        <f t="shared" si="12"/>
        <v>0</v>
      </c>
      <c r="N41" s="127">
        <f t="shared" si="13"/>
        <v>0</v>
      </c>
      <c r="O41" s="127">
        <f t="shared" si="14"/>
        <v>0</v>
      </c>
      <c r="P41" s="127">
        <f t="shared" si="15"/>
        <v>0</v>
      </c>
      <c r="Q41" s="127">
        <f t="shared" si="16"/>
        <v>0</v>
      </c>
      <c r="R41" s="127">
        <f t="shared" si="17"/>
        <v>0</v>
      </c>
      <c r="S41" s="128">
        <f t="shared" si="18"/>
        <v>0</v>
      </c>
    </row>
    <row r="42" spans="1:19" ht="15.75" customHeight="1" x14ac:dyDescent="0.25">
      <c r="A42" s="2">
        <v>2500</v>
      </c>
      <c r="B42" s="2">
        <v>380</v>
      </c>
      <c r="E42" s="60" t="s">
        <v>148</v>
      </c>
      <c r="F42" s="126">
        <f t="shared" si="5"/>
        <v>0</v>
      </c>
      <c r="G42" s="127">
        <f t="shared" si="6"/>
        <v>0</v>
      </c>
      <c r="H42" s="127">
        <f t="shared" si="7"/>
        <v>0</v>
      </c>
      <c r="I42" s="127">
        <f t="shared" si="8"/>
        <v>0</v>
      </c>
      <c r="J42" s="127">
        <f t="shared" si="9"/>
        <v>0</v>
      </c>
      <c r="K42" s="127">
        <f t="shared" si="10"/>
        <v>0</v>
      </c>
      <c r="L42" s="127">
        <f t="shared" si="11"/>
        <v>0</v>
      </c>
      <c r="M42" s="127">
        <f t="shared" si="12"/>
        <v>0</v>
      </c>
      <c r="N42" s="127">
        <f t="shared" si="13"/>
        <v>0</v>
      </c>
      <c r="O42" s="127">
        <f t="shared" si="14"/>
        <v>0</v>
      </c>
      <c r="P42" s="127">
        <f t="shared" si="15"/>
        <v>0</v>
      </c>
      <c r="Q42" s="127">
        <f t="shared" si="16"/>
        <v>0</v>
      </c>
      <c r="R42" s="127">
        <f t="shared" si="17"/>
        <v>0</v>
      </c>
      <c r="S42" s="128">
        <f t="shared" si="18"/>
        <v>0</v>
      </c>
    </row>
    <row r="43" spans="1:19" ht="15.75" customHeight="1" x14ac:dyDescent="0.25">
      <c r="A43" s="2">
        <v>2750</v>
      </c>
      <c r="B43" s="2">
        <v>400</v>
      </c>
      <c r="E43" s="60" t="s">
        <v>149</v>
      </c>
      <c r="F43" s="126">
        <f t="shared" si="5"/>
        <v>0</v>
      </c>
      <c r="G43" s="127">
        <f t="shared" si="6"/>
        <v>0</v>
      </c>
      <c r="H43" s="127">
        <f t="shared" si="7"/>
        <v>0</v>
      </c>
      <c r="I43" s="127">
        <f t="shared" si="8"/>
        <v>0</v>
      </c>
      <c r="J43" s="127">
        <f t="shared" si="9"/>
        <v>0</v>
      </c>
      <c r="K43" s="127">
        <f t="shared" si="10"/>
        <v>0</v>
      </c>
      <c r="L43" s="127">
        <f t="shared" si="11"/>
        <v>0</v>
      </c>
      <c r="M43" s="127">
        <f t="shared" si="12"/>
        <v>0</v>
      </c>
      <c r="N43" s="127">
        <f t="shared" si="13"/>
        <v>0</v>
      </c>
      <c r="O43" s="127">
        <f t="shared" si="14"/>
        <v>0</v>
      </c>
      <c r="P43" s="127">
        <f t="shared" si="15"/>
        <v>0</v>
      </c>
      <c r="Q43" s="127">
        <f t="shared" si="16"/>
        <v>0</v>
      </c>
      <c r="R43" s="127">
        <f t="shared" si="17"/>
        <v>0</v>
      </c>
      <c r="S43" s="128">
        <f t="shared" si="18"/>
        <v>0</v>
      </c>
    </row>
    <row r="44" spans="1:19" ht="15.75" customHeight="1" x14ac:dyDescent="0.25">
      <c r="A44" s="2">
        <v>3000</v>
      </c>
      <c r="B44" s="2">
        <v>430</v>
      </c>
      <c r="E44" s="60" t="s">
        <v>150</v>
      </c>
      <c r="F44" s="126">
        <f t="shared" si="5"/>
        <v>0</v>
      </c>
      <c r="G44" s="127">
        <f t="shared" si="6"/>
        <v>0</v>
      </c>
      <c r="H44" s="127">
        <f t="shared" si="7"/>
        <v>0</v>
      </c>
      <c r="I44" s="127">
        <f t="shared" si="8"/>
        <v>0</v>
      </c>
      <c r="J44" s="127">
        <f t="shared" si="9"/>
        <v>0</v>
      </c>
      <c r="K44" s="127">
        <f t="shared" si="10"/>
        <v>0</v>
      </c>
      <c r="L44" s="127">
        <f t="shared" si="11"/>
        <v>0</v>
      </c>
      <c r="M44" s="127">
        <f t="shared" si="12"/>
        <v>0</v>
      </c>
      <c r="N44" s="127">
        <f t="shared" si="13"/>
        <v>0</v>
      </c>
      <c r="O44" s="127">
        <f t="shared" si="14"/>
        <v>0</v>
      </c>
      <c r="P44" s="127">
        <f t="shared" si="15"/>
        <v>0</v>
      </c>
      <c r="Q44" s="127">
        <f t="shared" si="16"/>
        <v>0</v>
      </c>
      <c r="R44" s="127">
        <f t="shared" si="17"/>
        <v>0</v>
      </c>
      <c r="S44" s="128">
        <f t="shared" si="18"/>
        <v>0</v>
      </c>
    </row>
    <row r="45" spans="1:19" x14ac:dyDescent="0.25">
      <c r="E45" s="60" t="s">
        <v>151</v>
      </c>
      <c r="F45" s="126">
        <f t="shared" si="5"/>
        <v>0</v>
      </c>
      <c r="G45" s="127">
        <f t="shared" si="6"/>
        <v>0</v>
      </c>
      <c r="H45" s="127">
        <f t="shared" si="7"/>
        <v>0</v>
      </c>
      <c r="I45" s="127">
        <f t="shared" si="8"/>
        <v>0</v>
      </c>
      <c r="J45" s="127">
        <f t="shared" si="9"/>
        <v>0</v>
      </c>
      <c r="K45" s="127">
        <f t="shared" si="10"/>
        <v>0</v>
      </c>
      <c r="L45" s="127">
        <f t="shared" si="11"/>
        <v>0</v>
      </c>
      <c r="M45" s="127">
        <f t="shared" si="12"/>
        <v>0</v>
      </c>
      <c r="N45" s="127">
        <f t="shared" si="13"/>
        <v>0</v>
      </c>
      <c r="O45" s="127">
        <f t="shared" si="14"/>
        <v>0</v>
      </c>
      <c r="P45" s="127">
        <f t="shared" si="15"/>
        <v>0</v>
      </c>
      <c r="Q45" s="127">
        <f t="shared" si="16"/>
        <v>0</v>
      </c>
      <c r="R45" s="127">
        <f t="shared" si="17"/>
        <v>0</v>
      </c>
      <c r="S45" s="128">
        <f t="shared" si="18"/>
        <v>0</v>
      </c>
    </row>
    <row r="46" spans="1:19" x14ac:dyDescent="0.25">
      <c r="A46" t="s">
        <v>156</v>
      </c>
      <c r="B46" t="s">
        <v>157</v>
      </c>
      <c r="E46" s="60" t="s">
        <v>152</v>
      </c>
      <c r="F46" s="126">
        <f t="shared" si="5"/>
        <v>0</v>
      </c>
      <c r="G46" s="127">
        <f t="shared" si="6"/>
        <v>0</v>
      </c>
      <c r="H46" s="127">
        <f t="shared" si="7"/>
        <v>0</v>
      </c>
      <c r="I46" s="127">
        <f t="shared" si="8"/>
        <v>0</v>
      </c>
      <c r="J46" s="127">
        <f t="shared" si="9"/>
        <v>0</v>
      </c>
      <c r="K46" s="127">
        <f t="shared" si="10"/>
        <v>0</v>
      </c>
      <c r="L46" s="127">
        <f t="shared" si="11"/>
        <v>0</v>
      </c>
      <c r="M46" s="127">
        <f t="shared" si="12"/>
        <v>0</v>
      </c>
      <c r="N46" s="127">
        <f t="shared" si="13"/>
        <v>0</v>
      </c>
      <c r="O46" s="127">
        <f t="shared" si="14"/>
        <v>0</v>
      </c>
      <c r="P46" s="127">
        <f t="shared" si="15"/>
        <v>0</v>
      </c>
      <c r="Q46" s="127">
        <f t="shared" si="16"/>
        <v>0</v>
      </c>
      <c r="R46" s="127">
        <f t="shared" si="17"/>
        <v>0</v>
      </c>
      <c r="S46" s="128">
        <f t="shared" si="18"/>
        <v>0</v>
      </c>
    </row>
    <row r="47" spans="1:19" x14ac:dyDescent="0.25">
      <c r="A47" t="s">
        <v>130</v>
      </c>
      <c r="B47" s="96">
        <f>'Riser Calculation'!E5</f>
        <v>34.300000000000004</v>
      </c>
      <c r="E47" s="60" t="s">
        <v>153</v>
      </c>
      <c r="F47" s="126">
        <f t="shared" si="5"/>
        <v>0</v>
      </c>
      <c r="G47" s="127">
        <f t="shared" si="6"/>
        <v>0</v>
      </c>
      <c r="H47" s="127">
        <f t="shared" si="7"/>
        <v>0</v>
      </c>
      <c r="I47" s="127">
        <f t="shared" si="8"/>
        <v>0</v>
      </c>
      <c r="J47" s="127">
        <f t="shared" si="9"/>
        <v>0</v>
      </c>
      <c r="K47" s="127">
        <f t="shared" si="10"/>
        <v>0</v>
      </c>
      <c r="L47" s="127">
        <f t="shared" si="11"/>
        <v>0</v>
      </c>
      <c r="M47" s="127">
        <f t="shared" si="12"/>
        <v>0</v>
      </c>
      <c r="N47" s="127">
        <f t="shared" si="13"/>
        <v>0</v>
      </c>
      <c r="O47" s="127">
        <f t="shared" si="14"/>
        <v>0</v>
      </c>
      <c r="P47" s="127">
        <f t="shared" si="15"/>
        <v>0</v>
      </c>
      <c r="Q47" s="127">
        <f t="shared" si="16"/>
        <v>0</v>
      </c>
      <c r="R47" s="127">
        <f t="shared" si="17"/>
        <v>0</v>
      </c>
      <c r="S47" s="128">
        <f t="shared" si="18"/>
        <v>0</v>
      </c>
    </row>
    <row r="48" spans="1:19" x14ac:dyDescent="0.25">
      <c r="A48" t="s">
        <v>131</v>
      </c>
      <c r="B48" s="96">
        <f>'Riser Calculation'!K5</f>
        <v>23.5</v>
      </c>
      <c r="E48" s="60" t="s">
        <v>154</v>
      </c>
      <c r="F48" s="126">
        <f t="shared" si="5"/>
        <v>0</v>
      </c>
      <c r="G48" s="127">
        <f t="shared" si="6"/>
        <v>0</v>
      </c>
      <c r="H48" s="127">
        <f t="shared" si="7"/>
        <v>0</v>
      </c>
      <c r="I48" s="127">
        <f t="shared" si="8"/>
        <v>0</v>
      </c>
      <c r="J48" s="127">
        <f t="shared" si="9"/>
        <v>0</v>
      </c>
      <c r="K48" s="127">
        <f t="shared" si="10"/>
        <v>0</v>
      </c>
      <c r="L48" s="127">
        <f t="shared" si="11"/>
        <v>0</v>
      </c>
      <c r="M48" s="127">
        <f t="shared" si="12"/>
        <v>0</v>
      </c>
      <c r="N48" s="127">
        <f t="shared" si="13"/>
        <v>0</v>
      </c>
      <c r="O48" s="127">
        <f t="shared" si="14"/>
        <v>0</v>
      </c>
      <c r="P48" s="127">
        <f t="shared" si="15"/>
        <v>0</v>
      </c>
      <c r="Q48" s="127">
        <f t="shared" si="16"/>
        <v>0</v>
      </c>
      <c r="R48" s="127">
        <f t="shared" si="17"/>
        <v>0</v>
      </c>
      <c r="S48" s="128">
        <f t="shared" si="18"/>
        <v>0</v>
      </c>
    </row>
    <row r="49" spans="1:25" x14ac:dyDescent="0.25">
      <c r="A49" t="s">
        <v>132</v>
      </c>
      <c r="B49" s="96">
        <f>'Riser Calculation'!Q5</f>
        <v>23.5</v>
      </c>
      <c r="E49" s="60" t="s">
        <v>155</v>
      </c>
      <c r="F49" s="206">
        <f t="shared" si="5"/>
        <v>0</v>
      </c>
      <c r="G49" s="207">
        <f t="shared" si="6"/>
        <v>0</v>
      </c>
      <c r="H49" s="207">
        <f t="shared" si="7"/>
        <v>0</v>
      </c>
      <c r="I49" s="207">
        <f t="shared" si="8"/>
        <v>0</v>
      </c>
      <c r="J49" s="207">
        <f t="shared" si="9"/>
        <v>0</v>
      </c>
      <c r="K49" s="207">
        <f t="shared" si="10"/>
        <v>0</v>
      </c>
      <c r="L49" s="207">
        <f t="shared" si="11"/>
        <v>0</v>
      </c>
      <c r="M49" s="207">
        <f t="shared" si="12"/>
        <v>0</v>
      </c>
      <c r="N49" s="207">
        <f t="shared" si="13"/>
        <v>0</v>
      </c>
      <c r="O49" s="207">
        <f t="shared" si="14"/>
        <v>0</v>
      </c>
      <c r="P49" s="207">
        <f t="shared" si="15"/>
        <v>0</v>
      </c>
      <c r="Q49" s="207">
        <f t="shared" si="16"/>
        <v>0</v>
      </c>
      <c r="R49" s="207">
        <f t="shared" si="17"/>
        <v>0</v>
      </c>
      <c r="S49" s="208">
        <f t="shared" si="18"/>
        <v>0</v>
      </c>
    </row>
    <row r="50" spans="1:25" x14ac:dyDescent="0.25">
      <c r="A50" t="s">
        <v>133</v>
      </c>
      <c r="B50" s="96">
        <f>'Riser Calculation'!W5</f>
        <v>23.5</v>
      </c>
    </row>
    <row r="51" spans="1:25" ht="15.75" thickBot="1" x14ac:dyDescent="0.3">
      <c r="A51" t="s">
        <v>134</v>
      </c>
      <c r="B51" s="96">
        <f>'Riser Calculation'!AC5</f>
        <v>18.8</v>
      </c>
      <c r="E51" t="s">
        <v>238</v>
      </c>
      <c r="F51" t="s">
        <v>209</v>
      </c>
      <c r="G51" t="s">
        <v>210</v>
      </c>
      <c r="H51" s="288" t="s">
        <v>227</v>
      </c>
      <c r="I51" s="288"/>
      <c r="J51" s="288"/>
      <c r="K51" s="288"/>
      <c r="L51" s="288"/>
      <c r="M51" s="288"/>
      <c r="N51" s="288"/>
      <c r="O51" s="288"/>
      <c r="P51" s="288"/>
      <c r="Q51" s="288"/>
      <c r="R51" s="288"/>
      <c r="S51" s="288"/>
      <c r="T51" s="288"/>
      <c r="U51" s="288"/>
      <c r="V51" s="95" t="s">
        <v>137</v>
      </c>
      <c r="W51" t="s">
        <v>32</v>
      </c>
      <c r="X51" t="s">
        <v>0</v>
      </c>
      <c r="Y51" t="s">
        <v>126</v>
      </c>
    </row>
    <row r="52" spans="1:25" x14ac:dyDescent="0.25">
      <c r="A52" t="s">
        <v>135</v>
      </c>
      <c r="B52" s="96">
        <f>'Riser Calculation'!AI5</f>
        <v>21.5</v>
      </c>
      <c r="E52" s="60" t="s">
        <v>86</v>
      </c>
      <c r="F52" s="129" t="s">
        <v>228</v>
      </c>
      <c r="G52" s="130" t="s">
        <v>229</v>
      </c>
      <c r="H52" s="120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2"/>
      <c r="V52" s="131"/>
      <c r="W52" s="172">
        <f>SUM(F69:R69)</f>
        <v>0</v>
      </c>
      <c r="X52" s="173" t="e">
        <f>FORECAST(W52,INDEX($B$2:$B$44,MATCH(W52,$A$2:$A$44,1)):INDEX($B$2:$B$44,MATCH(W52,$A$2:$A$44,1)+1),INDEX($A$2:$A$44,MATCH(W52,$A$2:$A$44,1)):INDEX($A$2:$A$44,MATCH(W52,$A$2:$A$44,1)+1))</f>
        <v>#N/A</v>
      </c>
      <c r="Y52" s="174" t="e">
        <f>IF(AND(X52&lt;=750,X52&gt;250),6,IF(AND(X52&lt;=250,X52&gt;120),4,IF(AND(X52&lt;=120,X52&gt;75),3,IF(AND(X52&lt;=75,X52&gt;40),2.5,IF(AND(X52&lt;=40,X52&gt;20),2,IF(AND(X52&lt;=20,X52&gt;14),1.5,IF(AND(X52&lt;=14,X52&gt;7),1.25,IF(AND(X52&lt;=7,X52&gt;3.5),1,IF(AND(X52&lt;=3.5,X52&gt;1.7),0.75,IF(AND(X52&lt;=1.7,X52&gt;0),0.5))))))))))</f>
        <v>#N/A</v>
      </c>
    </row>
    <row r="53" spans="1:25" x14ac:dyDescent="0.25">
      <c r="A53" t="s">
        <v>136</v>
      </c>
      <c r="B53" s="96">
        <f>'Riser Calculation'!AO5</f>
        <v>18.8</v>
      </c>
      <c r="E53" s="60" t="s">
        <v>87</v>
      </c>
      <c r="F53" s="131" t="s">
        <v>229</v>
      </c>
      <c r="G53" s="132" t="s">
        <v>230</v>
      </c>
      <c r="H53" s="123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24"/>
      <c r="T53" s="124"/>
      <c r="U53" s="125"/>
      <c r="V53" s="131"/>
      <c r="W53" s="175">
        <f t="shared" ref="W53:W66" si="19">SUM(F70:R70)</f>
        <v>0</v>
      </c>
      <c r="X53" s="176" t="e">
        <f>FORECAST(W53,INDEX($B$2:$B$44,MATCH(W53,$A$2:$A$44,1)):INDEX($B$2:$B$44,MATCH(W53,$A$2:$A$44,1)+1),INDEX($A$2:$A$44,MATCH(W53,$A$2:$A$44,1)):INDEX($A$2:$A$44,MATCH(W53,$A$2:$A$44,1)+1))</f>
        <v>#N/A</v>
      </c>
      <c r="Y53" s="177" t="e">
        <f t="shared" ref="Y53:Y66" si="20">IF(AND(X53&lt;=750,X53&gt;250),6,IF(AND(X53&lt;=250,X53&gt;120),4,IF(AND(X53&lt;=120,X53&gt;75),3,IF(AND(X53&lt;=75,X53&gt;40),2.5,IF(AND(X53&lt;=40,X53&gt;20),2,IF(AND(X53&lt;=20,X53&gt;14),1.5,IF(AND(X53&lt;=14,X53&gt;7),1.25,IF(AND(X53&lt;=7,X53&gt;3.5),1,IF(AND(X53&lt;=3.5,X53&gt;1.7),0.75,IF(AND(X53&lt;=1.7,X53&gt;0),0.5))))))))))</f>
        <v>#N/A</v>
      </c>
    </row>
    <row r="54" spans="1:25" x14ac:dyDescent="0.25">
      <c r="A54" t="s">
        <v>158</v>
      </c>
      <c r="B54" s="96">
        <f>'Riser Calculation'!AU5</f>
        <v>18.8</v>
      </c>
      <c r="E54" s="60" t="s">
        <v>88</v>
      </c>
      <c r="F54" s="131" t="s">
        <v>230</v>
      </c>
      <c r="G54" s="132" t="s">
        <v>231</v>
      </c>
      <c r="H54" s="126"/>
      <c r="I54" s="127"/>
      <c r="J54" s="127"/>
      <c r="K54" s="127"/>
      <c r="L54" s="127"/>
      <c r="M54" s="127"/>
      <c r="N54" s="127"/>
      <c r="O54" s="127"/>
      <c r="P54" s="127"/>
      <c r="Q54" s="127"/>
      <c r="R54" s="127"/>
      <c r="S54" s="127"/>
      <c r="T54" s="127"/>
      <c r="U54" s="128"/>
      <c r="V54" s="131"/>
      <c r="W54" s="175">
        <f t="shared" si="19"/>
        <v>0</v>
      </c>
      <c r="X54" s="176" t="e">
        <f>FORECAST(W54,INDEX($B$2:$B$44,MATCH(W54,$A$2:$A$44,1)):INDEX($B$2:$B$44,MATCH(W54,$A$2:$A$44,1)+1),INDEX($A$2:$A$44,MATCH(W54,$A$2:$A$44,1)):INDEX($A$2:$A$44,MATCH(W54,$A$2:$A$44,1)+1))</f>
        <v>#N/A</v>
      </c>
      <c r="Y54" s="177" t="e">
        <f t="shared" si="20"/>
        <v>#N/A</v>
      </c>
    </row>
    <row r="55" spans="1:25" x14ac:dyDescent="0.25">
      <c r="A55" t="s">
        <v>159</v>
      </c>
      <c r="B55" s="96">
        <f>'Riser Calculation'!BA5</f>
        <v>23.5</v>
      </c>
      <c r="E55" s="60" t="s">
        <v>89</v>
      </c>
      <c r="F55" s="131" t="s">
        <v>231</v>
      </c>
      <c r="G55" s="132" t="s">
        <v>232</v>
      </c>
      <c r="H55" s="123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125"/>
      <c r="V55" s="131"/>
      <c r="W55" s="175">
        <f t="shared" si="19"/>
        <v>0</v>
      </c>
      <c r="X55" s="176" t="e">
        <f>FORECAST(W55,INDEX($B$2:$B$44,MATCH(W55,$A$2:$A$44,1)):INDEX($B$2:$B$44,MATCH(W55,$A$2:$A$44,1)+1),INDEX($A$2:$A$44,MATCH(W55,$A$2:$A$44,1)):INDEX($A$2:$A$44,MATCH(W55,$A$2:$A$44,1)+1))</f>
        <v>#N/A</v>
      </c>
      <c r="Y55" s="177" t="e">
        <f t="shared" si="20"/>
        <v>#N/A</v>
      </c>
    </row>
    <row r="56" spans="1:25" x14ac:dyDescent="0.25">
      <c r="A56" t="s">
        <v>160</v>
      </c>
      <c r="B56" s="96">
        <f>'Riser Calculation'!BG5</f>
        <v>37</v>
      </c>
      <c r="E56" s="60" t="s">
        <v>90</v>
      </c>
      <c r="F56" s="131" t="s">
        <v>230</v>
      </c>
      <c r="G56" s="132" t="s">
        <v>233</v>
      </c>
      <c r="H56" s="126"/>
      <c r="I56" s="127"/>
      <c r="J56" s="127"/>
      <c r="K56" s="127"/>
      <c r="L56" s="127"/>
      <c r="M56" s="127"/>
      <c r="N56" s="127"/>
      <c r="O56" s="127"/>
      <c r="P56" s="127"/>
      <c r="Q56" s="127"/>
      <c r="R56" s="127"/>
      <c r="S56" s="127"/>
      <c r="T56" s="127"/>
      <c r="U56" s="128"/>
      <c r="V56" s="131"/>
      <c r="W56" s="175">
        <f t="shared" si="19"/>
        <v>0</v>
      </c>
      <c r="X56" s="176" t="e">
        <f>FORECAST(W56,INDEX($B$2:$B$44,MATCH(W56,$A$2:$A$44,1)):INDEX($B$2:$B$44,MATCH(W56,$A$2:$A$44,1)+1),INDEX($A$2:$A$44,MATCH(W56,$A$2:$A$44,1)):INDEX($A$2:$A$44,MATCH(W56,$A$2:$A$44,1)+1))</f>
        <v>#N/A</v>
      </c>
      <c r="Y56" s="177" t="e">
        <f t="shared" si="20"/>
        <v>#N/A</v>
      </c>
    </row>
    <row r="57" spans="1:25" x14ac:dyDescent="0.25">
      <c r="A57" t="s">
        <v>161</v>
      </c>
      <c r="B57" s="96">
        <f>'Riser Calculation'!BM5</f>
        <v>0</v>
      </c>
      <c r="E57" s="60" t="s">
        <v>223</v>
      </c>
      <c r="F57" s="131" t="s">
        <v>233</v>
      </c>
      <c r="G57" s="132" t="s">
        <v>234</v>
      </c>
      <c r="H57" s="123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5"/>
      <c r="V57" s="131"/>
      <c r="W57" s="175">
        <f t="shared" si="19"/>
        <v>0</v>
      </c>
      <c r="X57" s="176" t="e">
        <f>FORECAST(W57,INDEX($B$2:$B$44,MATCH(W57,$A$2:$A$44,1)):INDEX($B$2:$B$44,MATCH(W57,$A$2:$A$44,1)+1),INDEX($A$2:$A$44,MATCH(W57,$A$2:$A$44,1)):INDEX($A$2:$A$44,MATCH(W57,$A$2:$A$44,1)+1))</f>
        <v>#N/A</v>
      </c>
      <c r="Y57" s="177" t="e">
        <f t="shared" si="20"/>
        <v>#N/A</v>
      </c>
    </row>
    <row r="58" spans="1:25" x14ac:dyDescent="0.25">
      <c r="A58" t="s">
        <v>162</v>
      </c>
      <c r="B58" s="96">
        <f>'Riser Calculation'!BS5</f>
        <v>0</v>
      </c>
      <c r="E58" s="60" t="s">
        <v>44</v>
      </c>
      <c r="F58" s="131" t="s">
        <v>234</v>
      </c>
      <c r="G58" s="132" t="s">
        <v>235</v>
      </c>
      <c r="H58" s="126"/>
      <c r="I58" s="127"/>
      <c r="J58" s="127"/>
      <c r="K58" s="127"/>
      <c r="L58" s="127"/>
      <c r="M58" s="127"/>
      <c r="N58" s="127"/>
      <c r="O58" s="127"/>
      <c r="P58" s="127"/>
      <c r="Q58" s="127"/>
      <c r="R58" s="127"/>
      <c r="S58" s="127"/>
      <c r="T58" s="127"/>
      <c r="U58" s="128"/>
      <c r="V58" s="131"/>
      <c r="W58" s="175">
        <f t="shared" si="19"/>
        <v>0</v>
      </c>
      <c r="X58" s="176" t="e">
        <f>FORECAST(W58,INDEX($B$2:$B$44,MATCH(W58,$A$2:$A$44,1)):INDEX($B$2:$B$44,MATCH(W58,$A$2:$A$44,1)+1),INDEX($A$2:$A$44,MATCH(W58,$A$2:$A$44,1)):INDEX($A$2:$A$44,MATCH(W58,$A$2:$A$44,1)+1))</f>
        <v>#N/A</v>
      </c>
      <c r="Y58" s="177" t="e">
        <f t="shared" si="20"/>
        <v>#N/A</v>
      </c>
    </row>
    <row r="59" spans="1:25" x14ac:dyDescent="0.25">
      <c r="A59" t="s">
        <v>163</v>
      </c>
      <c r="B59" s="96">
        <f>'Riser Calculation'!BY5</f>
        <v>0</v>
      </c>
      <c r="E59" s="60" t="s">
        <v>240</v>
      </c>
      <c r="F59" s="131"/>
      <c r="G59" s="132"/>
      <c r="H59" s="123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125"/>
      <c r="V59" s="131"/>
      <c r="W59" s="175">
        <f t="shared" si="19"/>
        <v>0</v>
      </c>
      <c r="X59" s="176" t="e">
        <f>FORECAST(W59,INDEX($B$2:$B$44,MATCH(W59,$A$2:$A$44,1)):INDEX($B$2:$B$44,MATCH(W59,$A$2:$A$44,1)+1),INDEX($A$2:$A$44,MATCH(W59,$A$2:$A$44,1)):INDEX($A$2:$A$44,MATCH(W59,$A$2:$A$44,1)+1))</f>
        <v>#N/A</v>
      </c>
      <c r="Y59" s="177" t="e">
        <f t="shared" si="20"/>
        <v>#N/A</v>
      </c>
    </row>
    <row r="60" spans="1:25" x14ac:dyDescent="0.25">
      <c r="A60" t="s">
        <v>164</v>
      </c>
      <c r="B60" s="96">
        <f>'Riser Calculation'!CE5</f>
        <v>0</v>
      </c>
      <c r="E60" s="60" t="s">
        <v>241</v>
      </c>
      <c r="F60" s="131"/>
      <c r="G60" s="132"/>
      <c r="H60" s="126"/>
      <c r="I60" s="127"/>
      <c r="J60" s="127"/>
      <c r="K60" s="127"/>
      <c r="L60" s="127"/>
      <c r="M60" s="127"/>
      <c r="N60" s="127"/>
      <c r="O60" s="127"/>
      <c r="P60" s="127"/>
      <c r="Q60" s="127"/>
      <c r="R60" s="127"/>
      <c r="S60" s="127"/>
      <c r="T60" s="127"/>
      <c r="U60" s="128"/>
      <c r="V60" s="131"/>
      <c r="W60" s="175">
        <f t="shared" si="19"/>
        <v>0</v>
      </c>
      <c r="X60" s="176" t="e">
        <f>FORECAST(W60,INDEX($B$2:$B$44,MATCH(W60,$A$2:$A$44,1)):INDEX($B$2:$B$44,MATCH(W60,$A$2:$A$44,1)+1),INDEX($A$2:$A$44,MATCH(W60,$A$2:$A$44,1)):INDEX($A$2:$A$44,MATCH(W60,$A$2:$A$44,1)+1))</f>
        <v>#N/A</v>
      </c>
      <c r="Y60" s="177" t="e">
        <f t="shared" si="20"/>
        <v>#N/A</v>
      </c>
    </row>
    <row r="61" spans="1:25" x14ac:dyDescent="0.25">
      <c r="A61" t="s">
        <v>165</v>
      </c>
      <c r="B61" s="96"/>
      <c r="E61" s="60" t="s">
        <v>242</v>
      </c>
      <c r="F61" s="131"/>
      <c r="G61" s="132"/>
      <c r="H61" s="123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125"/>
      <c r="V61" s="131"/>
      <c r="W61" s="175">
        <f t="shared" si="19"/>
        <v>0</v>
      </c>
      <c r="X61" s="176" t="e">
        <f>FORECAST(W61,INDEX($B$2:$B$44,MATCH(W61,$A$2:$A$44,1)):INDEX($B$2:$B$44,MATCH(W61,$A$2:$A$44,1)+1),INDEX($A$2:$A$44,MATCH(W61,$A$2:$A$44,1)):INDEX($A$2:$A$44,MATCH(W61,$A$2:$A$44,1)+1))</f>
        <v>#N/A</v>
      </c>
      <c r="Y61" s="177" t="e">
        <f t="shared" si="20"/>
        <v>#N/A</v>
      </c>
    </row>
    <row r="62" spans="1:25" x14ac:dyDescent="0.25">
      <c r="A62" t="s">
        <v>166</v>
      </c>
      <c r="B62" s="96"/>
      <c r="E62" s="60" t="s">
        <v>243</v>
      </c>
      <c r="F62" s="131"/>
      <c r="G62" s="132"/>
      <c r="H62" s="126"/>
      <c r="I62" s="127"/>
      <c r="J62" s="127"/>
      <c r="K62" s="127"/>
      <c r="L62" s="127"/>
      <c r="M62" s="127"/>
      <c r="N62" s="127"/>
      <c r="O62" s="127"/>
      <c r="P62" s="127"/>
      <c r="Q62" s="127"/>
      <c r="R62" s="127"/>
      <c r="S62" s="127"/>
      <c r="T62" s="127"/>
      <c r="U62" s="128"/>
      <c r="V62" s="131"/>
      <c r="W62" s="175">
        <f t="shared" si="19"/>
        <v>0</v>
      </c>
      <c r="X62" s="176" t="e">
        <f>FORECAST(W62,INDEX($B$2:$B$44,MATCH(W62,$A$2:$A$44,1)):INDEX($B$2:$B$44,MATCH(W62,$A$2:$A$44,1)+1),INDEX($A$2:$A$44,MATCH(W62,$A$2:$A$44,1)):INDEX($A$2:$A$44,MATCH(W62,$A$2:$A$44,1)+1))</f>
        <v>#N/A</v>
      </c>
      <c r="Y62" s="177" t="e">
        <f t="shared" si="20"/>
        <v>#N/A</v>
      </c>
    </row>
    <row r="63" spans="1:25" x14ac:dyDescent="0.25">
      <c r="A63" t="s">
        <v>167</v>
      </c>
      <c r="B63" s="96"/>
      <c r="E63" s="60" t="s">
        <v>244</v>
      </c>
      <c r="F63" s="131"/>
      <c r="G63" s="132"/>
      <c r="H63" s="123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124"/>
      <c r="U63" s="125"/>
      <c r="V63" s="131"/>
      <c r="W63" s="175">
        <f t="shared" si="19"/>
        <v>0</v>
      </c>
      <c r="X63" s="176" t="e">
        <f>FORECAST(W63,INDEX($B$2:$B$44,MATCH(W63,$A$2:$A$44,1)):INDEX($B$2:$B$44,MATCH(W63,$A$2:$A$44,1)+1),INDEX($A$2:$A$44,MATCH(W63,$A$2:$A$44,1)):INDEX($A$2:$A$44,MATCH(W63,$A$2:$A$44,1)+1))</f>
        <v>#N/A</v>
      </c>
      <c r="Y63" s="177" t="e">
        <f t="shared" si="20"/>
        <v>#N/A</v>
      </c>
    </row>
    <row r="64" spans="1:25" x14ac:dyDescent="0.25">
      <c r="A64" t="s">
        <v>168</v>
      </c>
      <c r="B64" s="96"/>
      <c r="E64" s="60" t="s">
        <v>245</v>
      </c>
      <c r="F64" s="131"/>
      <c r="G64" s="132"/>
      <c r="H64" s="126"/>
      <c r="I64" s="127"/>
      <c r="J64" s="127"/>
      <c r="K64" s="127"/>
      <c r="L64" s="127"/>
      <c r="M64" s="127"/>
      <c r="N64" s="127"/>
      <c r="O64" s="127"/>
      <c r="P64" s="127"/>
      <c r="Q64" s="127"/>
      <c r="R64" s="127"/>
      <c r="S64" s="127"/>
      <c r="T64" s="127"/>
      <c r="U64" s="128"/>
      <c r="V64" s="131"/>
      <c r="W64" s="175">
        <f t="shared" si="19"/>
        <v>0</v>
      </c>
      <c r="X64" s="176" t="e">
        <f>FORECAST(W64,INDEX($B$2:$B$44,MATCH(W64,$A$2:$A$44,1)):INDEX($B$2:$B$44,MATCH(W64,$A$2:$A$44,1)+1),INDEX($A$2:$A$44,MATCH(W64,$A$2:$A$44,1)):INDEX($A$2:$A$44,MATCH(W64,$A$2:$A$44,1)+1))</f>
        <v>#N/A</v>
      </c>
      <c r="Y64" s="177" t="e">
        <f t="shared" si="20"/>
        <v>#N/A</v>
      </c>
    </row>
    <row r="65" spans="1:25" x14ac:dyDescent="0.25">
      <c r="A65" t="s">
        <v>169</v>
      </c>
      <c r="B65" s="96"/>
      <c r="E65" s="60" t="s">
        <v>246</v>
      </c>
      <c r="F65" s="131"/>
      <c r="G65" s="132"/>
      <c r="H65" s="123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124"/>
      <c r="U65" s="125"/>
      <c r="V65" s="131"/>
      <c r="W65" s="175">
        <f t="shared" si="19"/>
        <v>0</v>
      </c>
      <c r="X65" s="176" t="e">
        <f>FORECAST(W65,INDEX($B$2:$B$44,MATCH(W65,$A$2:$A$44,1)):INDEX($B$2:$B$44,MATCH(W65,$A$2:$A$44,1)+1),INDEX($A$2:$A$44,MATCH(W65,$A$2:$A$44,1)):INDEX($A$2:$A$44,MATCH(W65,$A$2:$A$44,1)+1))</f>
        <v>#N/A</v>
      </c>
      <c r="Y65" s="177" t="e">
        <f t="shared" si="20"/>
        <v>#N/A</v>
      </c>
    </row>
    <row r="66" spans="1:25" ht="15.75" thickBot="1" x14ac:dyDescent="0.3">
      <c r="A66" t="s">
        <v>170</v>
      </c>
      <c r="B66" s="96"/>
      <c r="E66" s="60" t="s">
        <v>247</v>
      </c>
      <c r="F66" s="133"/>
      <c r="G66" s="134"/>
      <c r="H66" s="126"/>
      <c r="I66" s="127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8"/>
      <c r="V66" s="131"/>
      <c r="W66" s="178">
        <f t="shared" si="19"/>
        <v>0</v>
      </c>
      <c r="X66" s="179" t="e">
        <f>FORECAST(W66,INDEX($B$2:$B$44,MATCH(W66,$A$2:$A$44,1)):INDEX($B$2:$B$44,MATCH(W66,$A$2:$A$44,1)+1),INDEX($A$2:$A$44,MATCH(W66,$A$2:$A$44,1)):INDEX($A$2:$A$44,MATCH(W66,$A$2:$A$44,1)+1))</f>
        <v>#N/A</v>
      </c>
      <c r="Y66" s="180" t="e">
        <f t="shared" si="20"/>
        <v>#N/A</v>
      </c>
    </row>
    <row r="67" spans="1:25" x14ac:dyDescent="0.25">
      <c r="A67" t="s">
        <v>171</v>
      </c>
      <c r="B67" s="96"/>
      <c r="M67" s="2"/>
      <c r="N67" s="2"/>
      <c r="O67" s="2"/>
      <c r="P67" s="2"/>
      <c r="Q67" s="2"/>
    </row>
    <row r="68" spans="1:25" hidden="1" x14ac:dyDescent="0.25">
      <c r="A68" t="s">
        <v>172</v>
      </c>
      <c r="B68" s="96"/>
      <c r="E68" s="289" t="s">
        <v>176</v>
      </c>
      <c r="F68" s="289"/>
      <c r="G68" s="289"/>
      <c r="H68" s="289"/>
      <c r="I68" s="289"/>
      <c r="J68" s="289"/>
      <c r="K68" s="289"/>
      <c r="L68" s="289"/>
      <c r="M68" s="289"/>
      <c r="N68" s="289"/>
      <c r="O68" s="289"/>
      <c r="P68" s="289"/>
      <c r="Q68" s="289"/>
      <c r="R68" s="289"/>
    </row>
    <row r="69" spans="1:25" hidden="1" x14ac:dyDescent="0.25">
      <c r="A69" t="s">
        <v>173</v>
      </c>
      <c r="B69" s="96"/>
      <c r="E69" s="60" t="s">
        <v>141</v>
      </c>
      <c r="F69" s="108">
        <f>IF(H52="R1",$B$74,IF(H52="R2",$B$75,IF(H52="R3",$B$76,IF(H52="R4",$B$77,IF(H52="R5",$B$78,IF(H52="R6",$B$79,IF(H52="R7",$B$80,IF(H52="R8",$B$81,IF(H52="R9",$B$82,IF(H52="R10",$B$83,IF(H52="R11",$B$84,IF(H52="R12",$B$85,IF(H52="R13",$B$86,IF(H52="R14",$B$87,0))))))))))))))</f>
        <v>0</v>
      </c>
      <c r="G69" s="108">
        <f t="shared" ref="G69:Q83" si="21">IF(I52="R1",$B$74,IF(I52="R2",$B$75,IF(I52="R3",$B$76,IF(I52="R4",$B$77,IF(I52="R5",$B$78,IF(I52="R6",$B$79,IF(I52="R7",$B$80,IF(I52="R8",$B$81,IF(I52="R9",$B$82,IF(I52="R10",$B$83,IF(I52="R11",$B$84,IF(I52="R12",$B$85,IF(I52="R13",$B$86,IF(I52="R14",$B$87,0))))))))))))))</f>
        <v>0</v>
      </c>
      <c r="H69" s="108">
        <f t="shared" si="21"/>
        <v>0</v>
      </c>
      <c r="I69" s="108">
        <f t="shared" si="21"/>
        <v>0</v>
      </c>
      <c r="J69" s="108">
        <f t="shared" si="21"/>
        <v>0</v>
      </c>
      <c r="K69" s="108">
        <f t="shared" si="21"/>
        <v>0</v>
      </c>
      <c r="L69" s="108">
        <f t="shared" si="21"/>
        <v>0</v>
      </c>
      <c r="M69" s="108">
        <f t="shared" si="21"/>
        <v>0</v>
      </c>
      <c r="N69" s="108">
        <f t="shared" si="21"/>
        <v>0</v>
      </c>
      <c r="O69" s="108">
        <f t="shared" si="21"/>
        <v>0</v>
      </c>
      <c r="P69" s="108">
        <f t="shared" si="21"/>
        <v>0</v>
      </c>
      <c r="Q69" s="108">
        <f t="shared" si="21"/>
        <v>0</v>
      </c>
      <c r="R69" s="108">
        <f t="shared" ref="R69:R83" si="22">IF(U52="R1",$B$74,IF(U52="R2",$B$75,IF(U52="R3",$B$76,IF(U52="R4",$B$77,IF(U52="R5",$B$78,IF(U52="R6",$B$79,IF(U52="R7",$B$80,IF(U52="R8",$B$81,IF(U52="R9",$B$82,IF(U52="R10",$B$83,IF(U52="R11",$B$84,IF(U52="R12",$B$85,IF(U52="R13",$B$86,IF(U52="R14",$B$87,0))))))))))))))</f>
        <v>0</v>
      </c>
    </row>
    <row r="70" spans="1:25" hidden="1" x14ac:dyDescent="0.25">
      <c r="A70" t="s">
        <v>174</v>
      </c>
      <c r="B70" s="96"/>
      <c r="E70" s="60" t="s">
        <v>142</v>
      </c>
      <c r="F70" s="108">
        <f t="shared" ref="F70:F83" si="23">IF(H53="R1",$B$74,IF(H53="R2",$B$75,IF(H53="R3",$B$76,IF(H53="R4",$B$77,IF(H53="R5",$B$78,IF(H53="R6",$B$79,IF(H53="R7",$B$80,IF(H53="R8",$B$81,IF(H53="R9",$B$82,IF(H53="R10",$B$83,IF(H53="R11",$B$84,IF(H53="R12",$B$85,IF(H53="R13",$B$86,IF(H53="R14",$B$87,0))))))))))))))</f>
        <v>0</v>
      </c>
      <c r="G70" s="108">
        <f t="shared" si="21"/>
        <v>0</v>
      </c>
      <c r="H70" s="108">
        <f t="shared" si="21"/>
        <v>0</v>
      </c>
      <c r="I70" s="108">
        <f t="shared" si="21"/>
        <v>0</v>
      </c>
      <c r="J70" s="108">
        <f t="shared" si="21"/>
        <v>0</v>
      </c>
      <c r="K70" s="108">
        <f t="shared" si="21"/>
        <v>0</v>
      </c>
      <c r="L70" s="108">
        <f t="shared" si="21"/>
        <v>0</v>
      </c>
      <c r="M70" s="108">
        <f t="shared" si="21"/>
        <v>0</v>
      </c>
      <c r="N70" s="108">
        <f t="shared" si="21"/>
        <v>0</v>
      </c>
      <c r="O70" s="108">
        <f t="shared" si="21"/>
        <v>0</v>
      </c>
      <c r="P70" s="108">
        <f t="shared" si="21"/>
        <v>0</v>
      </c>
      <c r="Q70" s="108">
        <f t="shared" si="21"/>
        <v>0</v>
      </c>
      <c r="R70" s="108">
        <f t="shared" si="22"/>
        <v>0</v>
      </c>
    </row>
    <row r="71" spans="1:25" hidden="1" x14ac:dyDescent="0.25">
      <c r="A71" t="s">
        <v>175</v>
      </c>
      <c r="B71" s="96"/>
      <c r="E71" s="60" t="s">
        <v>143</v>
      </c>
      <c r="F71" s="108">
        <f t="shared" si="23"/>
        <v>0</v>
      </c>
      <c r="G71" s="108">
        <f t="shared" si="21"/>
        <v>0</v>
      </c>
      <c r="H71" s="108">
        <f t="shared" si="21"/>
        <v>0</v>
      </c>
      <c r="I71" s="108">
        <f t="shared" si="21"/>
        <v>0</v>
      </c>
      <c r="J71" s="108">
        <f t="shared" si="21"/>
        <v>0</v>
      </c>
      <c r="K71" s="108">
        <f t="shared" si="21"/>
        <v>0</v>
      </c>
      <c r="L71" s="108">
        <f t="shared" si="21"/>
        <v>0</v>
      </c>
      <c r="M71" s="108">
        <f t="shared" si="21"/>
        <v>0</v>
      </c>
      <c r="N71" s="108">
        <f t="shared" si="21"/>
        <v>0</v>
      </c>
      <c r="O71" s="108">
        <f t="shared" si="21"/>
        <v>0</v>
      </c>
      <c r="P71" s="108">
        <f t="shared" si="21"/>
        <v>0</v>
      </c>
      <c r="Q71" s="108">
        <f t="shared" si="21"/>
        <v>0</v>
      </c>
      <c r="R71" s="108">
        <f t="shared" si="22"/>
        <v>0</v>
      </c>
    </row>
    <row r="72" spans="1:25" hidden="1" x14ac:dyDescent="0.25">
      <c r="E72" s="60" t="s">
        <v>144</v>
      </c>
      <c r="F72" s="108">
        <f t="shared" si="23"/>
        <v>0</v>
      </c>
      <c r="G72" s="108">
        <f t="shared" si="21"/>
        <v>0</v>
      </c>
      <c r="H72" s="108">
        <f t="shared" si="21"/>
        <v>0</v>
      </c>
      <c r="I72" s="108">
        <f t="shared" si="21"/>
        <v>0</v>
      </c>
      <c r="J72" s="108">
        <f t="shared" si="21"/>
        <v>0</v>
      </c>
      <c r="K72" s="108">
        <f t="shared" si="21"/>
        <v>0</v>
      </c>
      <c r="L72" s="108">
        <f t="shared" si="21"/>
        <v>0</v>
      </c>
      <c r="M72" s="108">
        <f t="shared" si="21"/>
        <v>0</v>
      </c>
      <c r="N72" s="108">
        <f t="shared" si="21"/>
        <v>0</v>
      </c>
      <c r="O72" s="108">
        <f t="shared" si="21"/>
        <v>0</v>
      </c>
      <c r="P72" s="108">
        <f t="shared" si="21"/>
        <v>0</v>
      </c>
      <c r="Q72" s="108">
        <f t="shared" si="21"/>
        <v>0</v>
      </c>
      <c r="R72" s="108">
        <f t="shared" si="22"/>
        <v>0</v>
      </c>
    </row>
    <row r="73" spans="1:25" hidden="1" x14ac:dyDescent="0.25">
      <c r="A73" t="s">
        <v>156</v>
      </c>
      <c r="B73" t="s">
        <v>157</v>
      </c>
      <c r="E73" s="60" t="s">
        <v>145</v>
      </c>
      <c r="F73" s="108">
        <f t="shared" si="23"/>
        <v>0</v>
      </c>
      <c r="G73" s="108">
        <f t="shared" si="21"/>
        <v>0</v>
      </c>
      <c r="H73" s="108">
        <f t="shared" si="21"/>
        <v>0</v>
      </c>
      <c r="I73" s="108">
        <f t="shared" si="21"/>
        <v>0</v>
      </c>
      <c r="J73" s="108">
        <f t="shared" si="21"/>
        <v>0</v>
      </c>
      <c r="K73" s="108">
        <f t="shared" si="21"/>
        <v>0</v>
      </c>
      <c r="L73" s="108">
        <f t="shared" si="21"/>
        <v>0</v>
      </c>
      <c r="M73" s="108">
        <f t="shared" si="21"/>
        <v>0</v>
      </c>
      <c r="N73" s="108">
        <f t="shared" si="21"/>
        <v>0</v>
      </c>
      <c r="O73" s="108">
        <f t="shared" si="21"/>
        <v>0</v>
      </c>
      <c r="P73" s="108">
        <f t="shared" si="21"/>
        <v>0</v>
      </c>
      <c r="Q73" s="108">
        <f t="shared" si="21"/>
        <v>0</v>
      </c>
      <c r="R73" s="108">
        <f t="shared" si="22"/>
        <v>0</v>
      </c>
    </row>
    <row r="74" spans="1:25" hidden="1" x14ac:dyDescent="0.25">
      <c r="A74" t="s">
        <v>130</v>
      </c>
      <c r="B74" s="96">
        <f>'Riser Calculation'!H5</f>
        <v>30.5</v>
      </c>
      <c r="E74" s="60" t="s">
        <v>146</v>
      </c>
      <c r="F74" s="108">
        <f t="shared" si="23"/>
        <v>0</v>
      </c>
      <c r="G74" s="108">
        <f t="shared" si="21"/>
        <v>0</v>
      </c>
      <c r="H74" s="108">
        <f t="shared" si="21"/>
        <v>0</v>
      </c>
      <c r="I74" s="108">
        <f t="shared" si="21"/>
        <v>0</v>
      </c>
      <c r="J74" s="108">
        <f t="shared" si="21"/>
        <v>0</v>
      </c>
      <c r="K74" s="108">
        <f t="shared" si="21"/>
        <v>0</v>
      </c>
      <c r="L74" s="108">
        <f t="shared" si="21"/>
        <v>0</v>
      </c>
      <c r="M74" s="108">
        <f t="shared" si="21"/>
        <v>0</v>
      </c>
      <c r="N74" s="108">
        <f t="shared" si="21"/>
        <v>0</v>
      </c>
      <c r="O74" s="108">
        <f t="shared" si="21"/>
        <v>0</v>
      </c>
      <c r="P74" s="108">
        <f t="shared" si="21"/>
        <v>0</v>
      </c>
      <c r="Q74" s="108">
        <f t="shared" si="21"/>
        <v>0</v>
      </c>
      <c r="R74" s="108">
        <f t="shared" si="22"/>
        <v>0</v>
      </c>
    </row>
    <row r="75" spans="1:25" hidden="1" x14ac:dyDescent="0.25">
      <c r="A75" t="s">
        <v>131</v>
      </c>
      <c r="B75" s="96">
        <f>'Riser Calculation'!N5</f>
        <v>24.5</v>
      </c>
      <c r="E75" s="60" t="s">
        <v>147</v>
      </c>
      <c r="F75" s="108">
        <f t="shared" si="23"/>
        <v>0</v>
      </c>
      <c r="G75" s="108">
        <f t="shared" si="21"/>
        <v>0</v>
      </c>
      <c r="H75" s="108">
        <f t="shared" si="21"/>
        <v>0</v>
      </c>
      <c r="I75" s="108">
        <f t="shared" si="21"/>
        <v>0</v>
      </c>
      <c r="J75" s="108">
        <f t="shared" si="21"/>
        <v>0</v>
      </c>
      <c r="K75" s="108">
        <f t="shared" si="21"/>
        <v>0</v>
      </c>
      <c r="L75" s="108">
        <f t="shared" si="21"/>
        <v>0</v>
      </c>
      <c r="M75" s="108">
        <f t="shared" si="21"/>
        <v>0</v>
      </c>
      <c r="N75" s="108">
        <f t="shared" si="21"/>
        <v>0</v>
      </c>
      <c r="O75" s="108">
        <f t="shared" si="21"/>
        <v>0</v>
      </c>
      <c r="P75" s="108">
        <f t="shared" si="21"/>
        <v>0</v>
      </c>
      <c r="Q75" s="108">
        <f t="shared" si="21"/>
        <v>0</v>
      </c>
      <c r="R75" s="108">
        <f t="shared" si="22"/>
        <v>0</v>
      </c>
    </row>
    <row r="76" spans="1:25" hidden="1" x14ac:dyDescent="0.25">
      <c r="A76" t="s">
        <v>132</v>
      </c>
      <c r="B76" s="96">
        <f>'Riser Calculation'!T5</f>
        <v>24.5</v>
      </c>
      <c r="E76" s="60" t="s">
        <v>148</v>
      </c>
      <c r="F76" s="108">
        <f t="shared" si="23"/>
        <v>0</v>
      </c>
      <c r="G76" s="108">
        <f t="shared" si="21"/>
        <v>0</v>
      </c>
      <c r="H76" s="108">
        <f t="shared" si="21"/>
        <v>0</v>
      </c>
      <c r="I76" s="108">
        <f t="shared" si="21"/>
        <v>0</v>
      </c>
      <c r="J76" s="108">
        <f t="shared" si="21"/>
        <v>0</v>
      </c>
      <c r="K76" s="108">
        <f t="shared" si="21"/>
        <v>0</v>
      </c>
      <c r="L76" s="108">
        <f t="shared" si="21"/>
        <v>0</v>
      </c>
      <c r="M76" s="108">
        <f t="shared" si="21"/>
        <v>0</v>
      </c>
      <c r="N76" s="108">
        <f t="shared" si="21"/>
        <v>0</v>
      </c>
      <c r="O76" s="108">
        <f t="shared" si="21"/>
        <v>0</v>
      </c>
      <c r="P76" s="108">
        <f t="shared" si="21"/>
        <v>0</v>
      </c>
      <c r="Q76" s="108">
        <f t="shared" si="21"/>
        <v>0</v>
      </c>
      <c r="R76" s="108">
        <f t="shared" si="22"/>
        <v>0</v>
      </c>
    </row>
    <row r="77" spans="1:25" hidden="1" x14ac:dyDescent="0.25">
      <c r="A77" t="s">
        <v>133</v>
      </c>
      <c r="B77" s="96">
        <f>'Riser Calculation'!Z5</f>
        <v>24.5</v>
      </c>
      <c r="E77" s="60" t="s">
        <v>149</v>
      </c>
      <c r="F77" s="108">
        <f t="shared" si="23"/>
        <v>0</v>
      </c>
      <c r="G77" s="108">
        <f t="shared" si="21"/>
        <v>0</v>
      </c>
      <c r="H77" s="108">
        <f t="shared" si="21"/>
        <v>0</v>
      </c>
      <c r="I77" s="108">
        <f t="shared" si="21"/>
        <v>0</v>
      </c>
      <c r="J77" s="108">
        <f t="shared" si="21"/>
        <v>0</v>
      </c>
      <c r="K77" s="108">
        <f t="shared" si="21"/>
        <v>0</v>
      </c>
      <c r="L77" s="108">
        <f t="shared" si="21"/>
        <v>0</v>
      </c>
      <c r="M77" s="108">
        <f t="shared" si="21"/>
        <v>0</v>
      </c>
      <c r="N77" s="108">
        <f t="shared" si="21"/>
        <v>0</v>
      </c>
      <c r="O77" s="108">
        <f t="shared" si="21"/>
        <v>0</v>
      </c>
      <c r="P77" s="108">
        <f t="shared" si="21"/>
        <v>0</v>
      </c>
      <c r="Q77" s="108">
        <f t="shared" si="21"/>
        <v>0</v>
      </c>
      <c r="R77" s="108">
        <f t="shared" si="22"/>
        <v>0</v>
      </c>
    </row>
    <row r="78" spans="1:25" hidden="1" x14ac:dyDescent="0.25">
      <c r="A78" t="s">
        <v>134</v>
      </c>
      <c r="B78" s="96">
        <f>'Riser Calculation'!AF5</f>
        <v>19.600000000000001</v>
      </c>
      <c r="E78" s="60" t="s">
        <v>150</v>
      </c>
      <c r="F78" s="108">
        <f t="shared" si="23"/>
        <v>0</v>
      </c>
      <c r="G78" s="108">
        <f t="shared" si="21"/>
        <v>0</v>
      </c>
      <c r="H78" s="108">
        <f t="shared" si="21"/>
        <v>0</v>
      </c>
      <c r="I78" s="108">
        <f t="shared" si="21"/>
        <v>0</v>
      </c>
      <c r="J78" s="108">
        <f t="shared" si="21"/>
        <v>0</v>
      </c>
      <c r="K78" s="108">
        <f t="shared" si="21"/>
        <v>0</v>
      </c>
      <c r="L78" s="108">
        <f t="shared" si="21"/>
        <v>0</v>
      </c>
      <c r="M78" s="108">
        <f t="shared" si="21"/>
        <v>0</v>
      </c>
      <c r="N78" s="108">
        <f t="shared" si="21"/>
        <v>0</v>
      </c>
      <c r="O78" s="108">
        <f t="shared" si="21"/>
        <v>0</v>
      </c>
      <c r="P78" s="108">
        <f t="shared" si="21"/>
        <v>0</v>
      </c>
      <c r="Q78" s="108">
        <f t="shared" si="21"/>
        <v>0</v>
      </c>
      <c r="R78" s="108">
        <f t="shared" si="22"/>
        <v>0</v>
      </c>
    </row>
    <row r="79" spans="1:25" hidden="1" x14ac:dyDescent="0.25">
      <c r="A79" t="s">
        <v>135</v>
      </c>
      <c r="B79" s="96">
        <f>'Riser Calculation'!AL5</f>
        <v>20.100000000000001</v>
      </c>
      <c r="E79" s="60" t="s">
        <v>151</v>
      </c>
      <c r="F79" s="108">
        <f t="shared" si="23"/>
        <v>0</v>
      </c>
      <c r="G79" s="108">
        <f t="shared" si="21"/>
        <v>0</v>
      </c>
      <c r="H79" s="108">
        <f t="shared" si="21"/>
        <v>0</v>
      </c>
      <c r="I79" s="108">
        <f t="shared" si="21"/>
        <v>0</v>
      </c>
      <c r="J79" s="108">
        <f t="shared" si="21"/>
        <v>0</v>
      </c>
      <c r="K79" s="108">
        <f t="shared" si="21"/>
        <v>0</v>
      </c>
      <c r="L79" s="108">
        <f t="shared" si="21"/>
        <v>0</v>
      </c>
      <c r="M79" s="108">
        <f t="shared" si="21"/>
        <v>0</v>
      </c>
      <c r="N79" s="108">
        <f t="shared" si="21"/>
        <v>0</v>
      </c>
      <c r="O79" s="108">
        <f t="shared" si="21"/>
        <v>0</v>
      </c>
      <c r="P79" s="108">
        <f t="shared" si="21"/>
        <v>0</v>
      </c>
      <c r="Q79" s="108">
        <f t="shared" si="21"/>
        <v>0</v>
      </c>
      <c r="R79" s="108">
        <f t="shared" si="22"/>
        <v>0</v>
      </c>
    </row>
    <row r="80" spans="1:25" hidden="1" x14ac:dyDescent="0.25">
      <c r="A80" t="s">
        <v>136</v>
      </c>
      <c r="B80" s="96">
        <f>'Riser Calculation'!AR5</f>
        <v>19.600000000000001</v>
      </c>
      <c r="E80" s="60" t="s">
        <v>152</v>
      </c>
      <c r="F80" s="108">
        <f t="shared" si="23"/>
        <v>0</v>
      </c>
      <c r="G80" s="108">
        <f t="shared" si="21"/>
        <v>0</v>
      </c>
      <c r="H80" s="108">
        <f t="shared" si="21"/>
        <v>0</v>
      </c>
      <c r="I80" s="108">
        <f t="shared" si="21"/>
        <v>0</v>
      </c>
      <c r="J80" s="108">
        <f t="shared" si="21"/>
        <v>0</v>
      </c>
      <c r="K80" s="108">
        <f t="shared" si="21"/>
        <v>0</v>
      </c>
      <c r="L80" s="108">
        <f t="shared" si="21"/>
        <v>0</v>
      </c>
      <c r="M80" s="108">
        <f t="shared" si="21"/>
        <v>0</v>
      </c>
      <c r="N80" s="108">
        <f t="shared" si="21"/>
        <v>0</v>
      </c>
      <c r="O80" s="108">
        <f t="shared" si="21"/>
        <v>0</v>
      </c>
      <c r="P80" s="108">
        <f t="shared" si="21"/>
        <v>0</v>
      </c>
      <c r="Q80" s="108">
        <f t="shared" si="21"/>
        <v>0</v>
      </c>
      <c r="R80" s="108">
        <f t="shared" si="22"/>
        <v>0</v>
      </c>
    </row>
    <row r="81" spans="1:18" hidden="1" x14ac:dyDescent="0.25">
      <c r="A81" t="s">
        <v>158</v>
      </c>
      <c r="B81" s="96">
        <f>'Riser Calculation'!AX5</f>
        <v>19.600000000000001</v>
      </c>
      <c r="E81" s="60" t="s">
        <v>153</v>
      </c>
      <c r="F81" s="108">
        <f t="shared" si="23"/>
        <v>0</v>
      </c>
      <c r="G81" s="108">
        <f t="shared" si="21"/>
        <v>0</v>
      </c>
      <c r="H81" s="108">
        <f t="shared" si="21"/>
        <v>0</v>
      </c>
      <c r="I81" s="108">
        <f t="shared" si="21"/>
        <v>0</v>
      </c>
      <c r="J81" s="108">
        <f t="shared" si="21"/>
        <v>0</v>
      </c>
      <c r="K81" s="108">
        <f t="shared" si="21"/>
        <v>0</v>
      </c>
      <c r="L81" s="108">
        <f t="shared" si="21"/>
        <v>0</v>
      </c>
      <c r="M81" s="108">
        <f t="shared" si="21"/>
        <v>0</v>
      </c>
      <c r="N81" s="108">
        <f t="shared" si="21"/>
        <v>0</v>
      </c>
      <c r="O81" s="108">
        <f t="shared" si="21"/>
        <v>0</v>
      </c>
      <c r="P81" s="108">
        <f t="shared" si="21"/>
        <v>0</v>
      </c>
      <c r="Q81" s="108">
        <f t="shared" si="21"/>
        <v>0</v>
      </c>
      <c r="R81" s="108">
        <f t="shared" si="22"/>
        <v>0</v>
      </c>
    </row>
    <row r="82" spans="1:18" hidden="1" x14ac:dyDescent="0.25">
      <c r="A82" t="s">
        <v>159</v>
      </c>
      <c r="B82" s="96">
        <f>'Riser Calculation'!BD5</f>
        <v>24.5</v>
      </c>
      <c r="E82" s="60" t="s">
        <v>154</v>
      </c>
      <c r="F82" s="108">
        <f t="shared" si="23"/>
        <v>0</v>
      </c>
      <c r="G82" s="108">
        <f t="shared" si="21"/>
        <v>0</v>
      </c>
      <c r="H82" s="108">
        <f t="shared" si="21"/>
        <v>0</v>
      </c>
      <c r="I82" s="108">
        <f t="shared" si="21"/>
        <v>0</v>
      </c>
      <c r="J82" s="108">
        <f t="shared" si="21"/>
        <v>0</v>
      </c>
      <c r="K82" s="108">
        <f t="shared" si="21"/>
        <v>0</v>
      </c>
      <c r="L82" s="108">
        <f t="shared" si="21"/>
        <v>0</v>
      </c>
      <c r="M82" s="108">
        <f t="shared" si="21"/>
        <v>0</v>
      </c>
      <c r="N82" s="108">
        <f t="shared" si="21"/>
        <v>0</v>
      </c>
      <c r="O82" s="108">
        <f t="shared" si="21"/>
        <v>0</v>
      </c>
      <c r="P82" s="108">
        <f t="shared" si="21"/>
        <v>0</v>
      </c>
      <c r="Q82" s="108">
        <f t="shared" si="21"/>
        <v>0</v>
      </c>
      <c r="R82" s="108">
        <f t="shared" si="22"/>
        <v>0</v>
      </c>
    </row>
    <row r="83" spans="1:18" hidden="1" x14ac:dyDescent="0.25">
      <c r="A83" t="s">
        <v>160</v>
      </c>
      <c r="B83" s="96">
        <f>'Riser Calculation'!BJ5</f>
        <v>32</v>
      </c>
      <c r="E83" s="60" t="s">
        <v>155</v>
      </c>
      <c r="F83" s="108">
        <f t="shared" si="23"/>
        <v>0</v>
      </c>
      <c r="G83" s="108">
        <f t="shared" si="21"/>
        <v>0</v>
      </c>
      <c r="H83" s="108">
        <f t="shared" si="21"/>
        <v>0</v>
      </c>
      <c r="I83" s="108">
        <f t="shared" si="21"/>
        <v>0</v>
      </c>
      <c r="J83" s="108">
        <f t="shared" si="21"/>
        <v>0</v>
      </c>
      <c r="K83" s="108">
        <f t="shared" si="21"/>
        <v>0</v>
      </c>
      <c r="L83" s="108">
        <f t="shared" si="21"/>
        <v>0</v>
      </c>
      <c r="M83" s="108">
        <f t="shared" si="21"/>
        <v>0</v>
      </c>
      <c r="N83" s="108">
        <f t="shared" si="21"/>
        <v>0</v>
      </c>
      <c r="O83" s="108">
        <f t="shared" si="21"/>
        <v>0</v>
      </c>
      <c r="P83" s="108">
        <f t="shared" si="21"/>
        <v>0</v>
      </c>
      <c r="Q83" s="108">
        <f t="shared" si="21"/>
        <v>0</v>
      </c>
      <c r="R83" s="108">
        <f t="shared" si="22"/>
        <v>0</v>
      </c>
    </row>
    <row r="84" spans="1:18" x14ac:dyDescent="0.25">
      <c r="A84" t="s">
        <v>161</v>
      </c>
      <c r="B84" s="96">
        <f>'Riser Calculation'!BP5</f>
        <v>0</v>
      </c>
    </row>
    <row r="85" spans="1:18" x14ac:dyDescent="0.25">
      <c r="A85" t="s">
        <v>162</v>
      </c>
      <c r="B85" s="96">
        <f>'Riser Calculation'!BV5</f>
        <v>0</v>
      </c>
    </row>
    <row r="86" spans="1:18" x14ac:dyDescent="0.25">
      <c r="A86" t="s">
        <v>163</v>
      </c>
      <c r="B86" s="96">
        <f>'Riser Calculation'!BY5</f>
        <v>0</v>
      </c>
    </row>
    <row r="87" spans="1:18" x14ac:dyDescent="0.25">
      <c r="A87" t="s">
        <v>164</v>
      </c>
      <c r="B87" s="96">
        <f>'Riser Calculation'!CE5</f>
        <v>0</v>
      </c>
    </row>
    <row r="88" spans="1:18" x14ac:dyDescent="0.25">
      <c r="A88" t="s">
        <v>165</v>
      </c>
      <c r="B88" s="96"/>
    </row>
    <row r="89" spans="1:18" x14ac:dyDescent="0.25">
      <c r="A89" t="s">
        <v>166</v>
      </c>
      <c r="B89" s="96"/>
    </row>
    <row r="90" spans="1:18" x14ac:dyDescent="0.25">
      <c r="A90" t="s">
        <v>167</v>
      </c>
      <c r="B90" s="96"/>
    </row>
    <row r="91" spans="1:18" x14ac:dyDescent="0.25">
      <c r="A91" t="s">
        <v>168</v>
      </c>
      <c r="B91" s="96"/>
    </row>
    <row r="92" spans="1:18" x14ac:dyDescent="0.25">
      <c r="A92" t="s">
        <v>169</v>
      </c>
      <c r="B92" s="96"/>
    </row>
    <row r="93" spans="1:18" x14ac:dyDescent="0.25">
      <c r="A93" t="s">
        <v>170</v>
      </c>
      <c r="B93" s="96"/>
    </row>
    <row r="94" spans="1:18" x14ac:dyDescent="0.25">
      <c r="A94" t="s">
        <v>171</v>
      </c>
      <c r="B94" s="96"/>
    </row>
    <row r="95" spans="1:18" x14ac:dyDescent="0.25">
      <c r="A95" t="s">
        <v>172</v>
      </c>
      <c r="B95" s="96"/>
    </row>
    <row r="96" spans="1:18" x14ac:dyDescent="0.25">
      <c r="A96" t="s">
        <v>173</v>
      </c>
      <c r="B96" s="96"/>
    </row>
    <row r="97" spans="1:2" x14ac:dyDescent="0.25">
      <c r="A97" t="s">
        <v>174</v>
      </c>
      <c r="B97" s="96"/>
    </row>
    <row r="98" spans="1:2" x14ac:dyDescent="0.25">
      <c r="A98" t="s">
        <v>175</v>
      </c>
      <c r="B98" s="96"/>
    </row>
  </sheetData>
  <mergeCells count="6">
    <mergeCell ref="H51:U51"/>
    <mergeCell ref="E68:R68"/>
    <mergeCell ref="F4:H4"/>
    <mergeCell ref="K4:M4"/>
    <mergeCell ref="H16:U16"/>
    <mergeCell ref="E34:S34"/>
  </mergeCells>
  <phoneticPr fontId="2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5BA38-D2DC-4484-B04B-8BBCD1765DB5}">
  <sheetPr codeName="Sheet6"/>
  <dimension ref="A1:BN44"/>
  <sheetViews>
    <sheetView topLeftCell="C1" workbookViewId="0">
      <selection activeCell="AM25" sqref="AM25"/>
    </sheetView>
  </sheetViews>
  <sheetFormatPr defaultRowHeight="15" x14ac:dyDescent="0.25"/>
  <cols>
    <col min="1" max="2" width="7.42578125" hidden="1" customWidth="1"/>
    <col min="3" max="3" width="10" customWidth="1"/>
    <col min="4" max="4" width="14.85546875" customWidth="1"/>
    <col min="5" max="7" width="9" customWidth="1"/>
    <col min="8" max="8" width="7.140625" customWidth="1"/>
    <col min="9" max="9" width="12.7109375" customWidth="1"/>
    <col min="10" max="10" width="15.42578125" customWidth="1"/>
    <col min="11" max="13" width="12.7109375" hidden="1" customWidth="1"/>
    <col min="14" max="18" width="7.42578125" hidden="1" customWidth="1"/>
    <col min="19" max="21" width="3.42578125" hidden="1" customWidth="1"/>
    <col min="22" max="67" width="4.7109375" customWidth="1"/>
    <col min="68" max="90" width="3.42578125" customWidth="1"/>
  </cols>
  <sheetData>
    <row r="1" spans="1:66" x14ac:dyDescent="0.25">
      <c r="A1" s="2"/>
      <c r="B1" s="2" t="s">
        <v>0</v>
      </c>
      <c r="AX1" s="63"/>
    </row>
    <row r="2" spans="1:66" ht="18" thickBot="1" x14ac:dyDescent="0.35">
      <c r="A2" s="2">
        <v>3</v>
      </c>
      <c r="B2" s="2">
        <v>1</v>
      </c>
      <c r="E2" s="273" t="s">
        <v>212</v>
      </c>
      <c r="F2" s="273"/>
      <c r="G2" s="273"/>
      <c r="H2" s="273"/>
      <c r="I2" s="273"/>
      <c r="AX2" s="63"/>
    </row>
    <row r="3" spans="1:66" ht="15.75" thickBot="1" x14ac:dyDescent="0.3">
      <c r="A3" s="2">
        <v>5</v>
      </c>
      <c r="B3" s="2">
        <v>2</v>
      </c>
      <c r="D3" s="188" t="s">
        <v>239</v>
      </c>
      <c r="E3" s="147" t="s">
        <v>209</v>
      </c>
      <c r="F3" s="148" t="s">
        <v>210</v>
      </c>
      <c r="G3" s="147" t="s">
        <v>62</v>
      </c>
      <c r="H3" s="148" t="s">
        <v>0</v>
      </c>
      <c r="I3" s="149" t="s">
        <v>211</v>
      </c>
      <c r="J3" s="184" t="s">
        <v>237</v>
      </c>
      <c r="AB3" s="104">
        <f>IF(AG4=0,0,LOOKUP(AG4,F4:F17,J4:J17))</f>
        <v>0</v>
      </c>
      <c r="AH3" s="104"/>
      <c r="AX3" s="63"/>
    </row>
    <row r="4" spans="1:66" x14ac:dyDescent="0.25">
      <c r="A4" s="2">
        <v>8</v>
      </c>
      <c r="B4" s="2">
        <v>4</v>
      </c>
      <c r="D4" s="147">
        <f>'Horizontal Pipes Calcs'!E17</f>
        <v>1</v>
      </c>
      <c r="E4" s="157" t="str">
        <f>'Horizontal Pipes Calcs'!F17</f>
        <v>WM</v>
      </c>
      <c r="F4" s="170" t="str">
        <f>'Horizontal Pipes Calcs'!G17</f>
        <v>A</v>
      </c>
      <c r="G4" s="160">
        <f>FORECAST(H4,INDEX($B$3:$B$45,MATCH(H4,$A$3:$A$45,1)):INDEX($B$3:$B$45,MATCH(H4,$A$3:$A$45,1)+1),INDEX($A$3:$A$45,MATCH(H4,$A$3:$A$45,1)):INDEX($A$3:$A$45,MATCH(H4,$A$3:$A$45,1)+1))</f>
        <v>243.20000000000005</v>
      </c>
      <c r="H4" s="161">
        <f>'Horizontal Pipes Calcs'!X17</f>
        <v>75.960000000000008</v>
      </c>
      <c r="I4" s="181">
        <f>IF(AND(H4&lt;=750,H4&gt;250),6,IF(AND(H4&lt;=250,H4&gt;120),4,IF(AND(H4&lt;=120,H4&gt;75),3,IF(AND(H4&lt;=75,H4&gt;40),2.5,IF(AND(H4&lt;=40,H4&gt;20),2,IF(AND(H4&lt;=20,H4&gt;14),1.5,IF(AND(H4&lt;=14,H4&gt;7),1.25,IF(AND(H4&lt;=7,H4&gt;3.5),1,IF(AND(H4&lt;=3.5,H4&gt;1.7),0.75,IF(AND(H4&lt;=1.7,H4&gt;0),0.5))))))))))</f>
        <v>3</v>
      </c>
      <c r="J4" s="185"/>
      <c r="W4" s="60" t="s">
        <v>86</v>
      </c>
      <c r="AA4" s="60" t="s">
        <v>87</v>
      </c>
      <c r="AG4" s="60" t="s">
        <v>44</v>
      </c>
      <c r="AM4" s="60" t="s">
        <v>208</v>
      </c>
      <c r="AS4" s="60" t="s">
        <v>208</v>
      </c>
      <c r="AX4" s="63"/>
      <c r="AY4" s="60"/>
      <c r="BE4" s="60"/>
      <c r="BK4" s="60"/>
    </row>
    <row r="5" spans="1:66" x14ac:dyDescent="0.25">
      <c r="A5" s="2">
        <v>12.8</v>
      </c>
      <c r="B5" s="2">
        <v>8</v>
      </c>
      <c r="D5" s="79">
        <f>'Horizontal Pipes Calcs'!E18</f>
        <v>2</v>
      </c>
      <c r="E5" s="158" t="str">
        <f>'Horizontal Pipes Calcs'!F18</f>
        <v>A</v>
      </c>
      <c r="F5" s="171" t="str">
        <f>'Horizontal Pipes Calcs'!G18</f>
        <v>B</v>
      </c>
      <c r="G5" s="163">
        <f>FORECAST(H5,INDEX($B$3:$B$45,MATCH(H5,$A$3:$A$45,1)):INDEX($B$3:$B$45,MATCH(H5,$A$3:$A$45,1)+1),INDEX($A$3:$A$45,MATCH(H5,$A$3:$A$45,1)):INDEX($A$3:$A$45,MATCH(H5,$A$3:$A$45,1)+1))</f>
        <v>219.7</v>
      </c>
      <c r="H5" s="155">
        <f>'Horizontal Pipes Calcs'!X18</f>
        <v>69.954999999999998</v>
      </c>
      <c r="I5" s="182">
        <f t="shared" ref="I5:I17" si="0">IF(AND(H5&lt;=750,H5&gt;250),6,IF(AND(H5&lt;=250,H5&gt;120),4,IF(AND(H5&lt;=120,H5&gt;75),3,IF(AND(H5&lt;=75,H5&gt;40),2.5,IF(AND(H5&lt;=40,H5&gt;20),2,IF(AND(H5&lt;=20,H5&gt;14),1.5,IF(AND(H5&lt;=14,H5&gt;7),1.25,IF(AND(H5&lt;=7,H5&gt;3.5),1,IF(AND(H5&lt;=3.5,H5&gt;1.7),0.75,IF(AND(H5&lt;=1.7,H5&gt;0),0.5))))))))))</f>
        <v>2.5</v>
      </c>
      <c r="J5" s="186"/>
      <c r="AX5" s="63"/>
    </row>
    <row r="6" spans="1:66" x14ac:dyDescent="0.25">
      <c r="A6" s="2">
        <v>17.5</v>
      </c>
      <c r="B6" s="2">
        <v>15</v>
      </c>
      <c r="D6" s="79">
        <f>'Horizontal Pipes Calcs'!E19</f>
        <v>3</v>
      </c>
      <c r="E6" s="158" t="str">
        <f>'Horizontal Pipes Calcs'!F19</f>
        <v>C</v>
      </c>
      <c r="F6" s="171" t="str">
        <f>'Horizontal Pipes Calcs'!G19</f>
        <v>D</v>
      </c>
      <c r="G6" s="163" t="e">
        <f>FORECAST(H6,INDEX($B$3:$B$45,MATCH(H6,$A$3:$A$45,1)):INDEX($B$3:$B$45,MATCH(H6,$A$3:$A$45,1)+1),INDEX($A$3:$A$45,MATCH(H6,$A$3:$A$45,1)):INDEX($A$3:$A$45,MATCH(H6,$A$3:$A$45,1)+1))</f>
        <v>#N/A</v>
      </c>
      <c r="H6" s="155" t="e">
        <f>'Horizontal Pipes Calcs'!X19</f>
        <v>#N/A</v>
      </c>
      <c r="I6" s="182" t="e">
        <f t="shared" si="0"/>
        <v>#N/A</v>
      </c>
      <c r="J6" s="186"/>
      <c r="AX6" s="63"/>
    </row>
    <row r="7" spans="1:66" x14ac:dyDescent="0.25">
      <c r="A7" s="2">
        <v>23.3</v>
      </c>
      <c r="B7" s="2">
        <v>30</v>
      </c>
      <c r="D7" s="79">
        <f>'Horizontal Pipes Calcs'!E20</f>
        <v>4</v>
      </c>
      <c r="E7" s="158" t="str">
        <f>'Horizontal Pipes Calcs'!F20</f>
        <v>D</v>
      </c>
      <c r="F7" s="171" t="str">
        <f>'Horizontal Pipes Calcs'!G20</f>
        <v>E</v>
      </c>
      <c r="G7" s="163" t="e">
        <f>FORECAST(H7,INDEX($B$3:$B$45,MATCH(H7,$A$3:$A$45,1)):INDEX($B$3:$B$45,MATCH(H7,$A$3:$A$45,1)+1),INDEX($A$3:$A$45,MATCH(H7,$A$3:$A$45,1)):INDEX($A$3:$A$45,MATCH(H7,$A$3:$A$45,1)+1))</f>
        <v>#N/A</v>
      </c>
      <c r="H7" s="155" t="e">
        <f>'Horizontal Pipes Calcs'!X20</f>
        <v>#N/A</v>
      </c>
      <c r="I7" s="182" t="e">
        <f t="shared" si="0"/>
        <v>#N/A</v>
      </c>
      <c r="J7" s="186"/>
      <c r="AB7" s="104"/>
      <c r="AH7" s="104"/>
      <c r="AN7" s="104"/>
      <c r="AT7" s="104"/>
      <c r="AX7" s="63"/>
    </row>
    <row r="8" spans="1:66" x14ac:dyDescent="0.25">
      <c r="A8" s="2">
        <v>29.1</v>
      </c>
      <c r="B8" s="2">
        <v>50</v>
      </c>
      <c r="D8" s="79">
        <f>'Horizontal Pipes Calcs'!E21</f>
        <v>5</v>
      </c>
      <c r="E8" s="158" t="str">
        <f>'Horizontal Pipes Calcs'!F21</f>
        <v>E</v>
      </c>
      <c r="F8" s="171" t="str">
        <f>'Horizontal Pipes Calcs'!G21</f>
        <v>F</v>
      </c>
      <c r="G8" s="163" t="e">
        <f>FORECAST(H8,INDEX($B$3:$B$45,MATCH(H8,$A$3:$A$45,1)):INDEX($B$3:$B$45,MATCH(H8,$A$3:$A$45,1)+1),INDEX($A$3:$A$45,MATCH(H8,$A$3:$A$45,1)):INDEX($A$3:$A$45,MATCH(H8,$A$3:$A$45,1)+1))</f>
        <v>#N/A</v>
      </c>
      <c r="H8" s="155" t="e">
        <f>'Horizontal Pipes Calcs'!X21</f>
        <v>#N/A</v>
      </c>
      <c r="I8" s="182" t="e">
        <f t="shared" si="0"/>
        <v>#N/A</v>
      </c>
      <c r="J8" s="186"/>
      <c r="AA8" s="60"/>
      <c r="AD8" s="60" t="s">
        <v>88</v>
      </c>
      <c r="AG8" s="60"/>
      <c r="AJ8" s="60" t="s">
        <v>44</v>
      </c>
      <c r="AM8" s="60"/>
      <c r="AP8" s="60" t="s">
        <v>208</v>
      </c>
      <c r="AS8" s="60"/>
      <c r="AV8" s="60" t="s">
        <v>208</v>
      </c>
      <c r="AX8" s="63"/>
      <c r="AY8" s="60"/>
      <c r="BB8" s="60"/>
      <c r="BE8" s="60"/>
      <c r="BH8" s="60"/>
      <c r="BK8" s="60"/>
      <c r="BN8" s="60"/>
    </row>
    <row r="9" spans="1:66" x14ac:dyDescent="0.25">
      <c r="A9" s="2">
        <v>33</v>
      </c>
      <c r="B9" s="2">
        <v>60</v>
      </c>
      <c r="D9" s="79">
        <f>'Horizontal Pipes Calcs'!E22</f>
        <v>6</v>
      </c>
      <c r="E9" s="158" t="str">
        <f>'Horizontal Pipes Calcs'!F22</f>
        <v>B</v>
      </c>
      <c r="F9" s="171" t="str">
        <f>'Horizontal Pipes Calcs'!G22</f>
        <v>G</v>
      </c>
      <c r="G9" s="163" t="e">
        <f>FORECAST(H9,INDEX($B$3:$B$45,MATCH(H9,$A$3:$A$45,1)):INDEX($B$3:$B$45,MATCH(H9,$A$3:$A$45,1)+1),INDEX($A$3:$A$45,MATCH(H9,$A$3:$A$45,1)):INDEX($A$3:$A$45,MATCH(H9,$A$3:$A$45,1)+1))</f>
        <v>#N/A</v>
      </c>
      <c r="H9" s="155" t="e">
        <f>'Horizontal Pipes Calcs'!X22</f>
        <v>#N/A</v>
      </c>
      <c r="I9" s="182" t="e">
        <f t="shared" si="0"/>
        <v>#N/A</v>
      </c>
      <c r="J9" s="186"/>
      <c r="AX9" s="63"/>
    </row>
    <row r="10" spans="1:66" x14ac:dyDescent="0.25">
      <c r="A10" s="2">
        <v>37</v>
      </c>
      <c r="B10" s="2">
        <v>70</v>
      </c>
      <c r="D10" s="79">
        <f>'Horizontal Pipes Calcs'!E23</f>
        <v>7</v>
      </c>
      <c r="E10" s="158" t="str">
        <f>'Horizontal Pipes Calcs'!F23</f>
        <v>G</v>
      </c>
      <c r="F10" s="171" t="str">
        <f>'Horizontal Pipes Calcs'!G23</f>
        <v>H</v>
      </c>
      <c r="G10" s="163" t="e">
        <f>FORECAST(H10,INDEX($B$3:$B$45,MATCH(H10,$A$3:$A$45,1)):INDEX($B$3:$B$45,MATCH(H10,$A$3:$A$45,1)+1),INDEX($A$3:$A$45,MATCH(H10,$A$3:$A$45,1)):INDEX($A$3:$A$45,MATCH(H10,$A$3:$A$45,1)+1))</f>
        <v>#N/A</v>
      </c>
      <c r="H10" s="155" t="e">
        <f>'Horizontal Pipes Calcs'!X23</f>
        <v>#N/A</v>
      </c>
      <c r="I10" s="182" t="e">
        <f t="shared" si="0"/>
        <v>#N/A</v>
      </c>
      <c r="J10" s="186"/>
      <c r="AX10" s="63"/>
    </row>
    <row r="11" spans="1:66" x14ac:dyDescent="0.25">
      <c r="A11" s="2">
        <v>40</v>
      </c>
      <c r="B11" s="2">
        <v>80</v>
      </c>
      <c r="D11" s="79">
        <f>'Horizontal Pipes Calcs'!E24</f>
        <v>8</v>
      </c>
      <c r="E11" s="158">
        <f>'Horizontal Pipes Calcs'!F24</f>
        <v>0</v>
      </c>
      <c r="F11" s="171">
        <f>'Horizontal Pipes Calcs'!G24</f>
        <v>0</v>
      </c>
      <c r="G11" s="163" t="e">
        <f>FORECAST(H11,INDEX($B$3:$B$45,MATCH(H11,$A$3:$A$45,1)):INDEX($B$3:$B$45,MATCH(H11,$A$3:$A$45,1)+1),INDEX($A$3:$A$45,MATCH(H11,$A$3:$A$45,1)):INDEX($A$3:$A$45,MATCH(H11,$A$3:$A$45,1)+1))</f>
        <v>#N/A</v>
      </c>
      <c r="H11" s="155" t="e">
        <f>'Horizontal Pipes Calcs'!X24</f>
        <v>#N/A</v>
      </c>
      <c r="I11" s="182" t="e">
        <f t="shared" si="0"/>
        <v>#N/A</v>
      </c>
      <c r="J11" s="186"/>
      <c r="AB11" s="104"/>
      <c r="AH11" s="104"/>
      <c r="AN11" s="104"/>
      <c r="AT11" s="104"/>
      <c r="AX11" s="63"/>
    </row>
    <row r="12" spans="1:66" x14ac:dyDescent="0.25">
      <c r="A12" s="2">
        <v>42</v>
      </c>
      <c r="B12" s="2">
        <v>90</v>
      </c>
      <c r="D12" s="79">
        <f>'Horizontal Pipes Calcs'!E25</f>
        <v>9</v>
      </c>
      <c r="E12" s="158">
        <f>'Horizontal Pipes Calcs'!F25</f>
        <v>0</v>
      </c>
      <c r="F12" s="171">
        <f>'Horizontal Pipes Calcs'!G25</f>
        <v>0</v>
      </c>
      <c r="G12" s="163" t="e">
        <f>FORECAST(H12,INDEX($B$3:$B$45,MATCH(H12,$A$3:$A$45,1)):INDEX($B$3:$B$45,MATCH(H12,$A$3:$A$45,1)+1),INDEX($A$3:$A$45,MATCH(H12,$A$3:$A$45,1)):INDEX($A$3:$A$45,MATCH(H12,$A$3:$A$45,1)+1))</f>
        <v>#N/A</v>
      </c>
      <c r="H12" s="155" t="e">
        <f>'Horizontal Pipes Calcs'!X25</f>
        <v>#N/A</v>
      </c>
      <c r="I12" s="182" t="e">
        <f t="shared" si="0"/>
        <v>#N/A</v>
      </c>
      <c r="J12" s="186"/>
      <c r="AA12" s="60"/>
      <c r="AD12" s="60" t="s">
        <v>89</v>
      </c>
      <c r="AG12" s="60"/>
      <c r="AJ12" s="60" t="s">
        <v>240</v>
      </c>
      <c r="AM12" s="60"/>
      <c r="AP12" s="60" t="s">
        <v>208</v>
      </c>
      <c r="AS12" s="60"/>
      <c r="AV12" s="60"/>
      <c r="AX12" s="63"/>
      <c r="AY12" s="60"/>
      <c r="BB12" s="60"/>
      <c r="BE12" s="60"/>
      <c r="BH12" s="60"/>
      <c r="BK12" s="60"/>
      <c r="BN12" s="60"/>
    </row>
    <row r="13" spans="1:66" x14ac:dyDescent="0.25">
      <c r="A13" s="2">
        <v>45</v>
      </c>
      <c r="B13" s="2">
        <v>100</v>
      </c>
      <c r="D13" s="79">
        <f>'Horizontal Pipes Calcs'!E26</f>
        <v>10</v>
      </c>
      <c r="E13" s="158">
        <f>'Horizontal Pipes Calcs'!F26</f>
        <v>0</v>
      </c>
      <c r="F13" s="171">
        <f>'Horizontal Pipes Calcs'!G26</f>
        <v>0</v>
      </c>
      <c r="G13" s="163" t="e">
        <f>FORECAST(H13,INDEX($B$3:$B$45,MATCH(H13,$A$3:$A$45,1)):INDEX($B$3:$B$45,MATCH(H13,$A$3:$A$45,1)+1),INDEX($A$3:$A$45,MATCH(H13,$A$3:$A$45,1)):INDEX($A$3:$A$45,MATCH(H13,$A$3:$A$45,1)+1))</f>
        <v>#N/A</v>
      </c>
      <c r="H13" s="155" t="e">
        <f>'Horizontal Pipes Calcs'!X26</f>
        <v>#N/A</v>
      </c>
      <c r="I13" s="182" t="e">
        <f t="shared" si="0"/>
        <v>#N/A</v>
      </c>
      <c r="J13" s="186"/>
      <c r="AX13" s="63"/>
    </row>
    <row r="14" spans="1:66" x14ac:dyDescent="0.25">
      <c r="A14" s="2">
        <v>47</v>
      </c>
      <c r="B14" s="2">
        <v>110</v>
      </c>
      <c r="D14" s="79">
        <f>'Horizontal Pipes Calcs'!E27</f>
        <v>11</v>
      </c>
      <c r="E14" s="158">
        <f>'Horizontal Pipes Calcs'!F27</f>
        <v>0</v>
      </c>
      <c r="F14" s="171">
        <f>'Horizontal Pipes Calcs'!G27</f>
        <v>0</v>
      </c>
      <c r="G14" s="163" t="e">
        <f>FORECAST(H14,INDEX($B$3:$B$45,MATCH(H14,$A$3:$A$45,1)):INDEX($B$3:$B$45,MATCH(H14,$A$3:$A$45,1)+1),INDEX($A$3:$A$45,MATCH(H14,$A$3:$A$45,1)):INDEX($A$3:$A$45,MATCH(H14,$A$3:$A$45,1)+1))</f>
        <v>#N/A</v>
      </c>
      <c r="H14" s="155" t="e">
        <f>'Horizontal Pipes Calcs'!X27</f>
        <v>#N/A</v>
      </c>
      <c r="I14" s="182" t="e">
        <f t="shared" si="0"/>
        <v>#N/A</v>
      </c>
      <c r="J14" s="186"/>
      <c r="AX14" s="63"/>
    </row>
    <row r="15" spans="1:66" x14ac:dyDescent="0.25">
      <c r="A15" s="2">
        <v>49</v>
      </c>
      <c r="B15" s="2">
        <v>120</v>
      </c>
      <c r="D15" s="79">
        <f>'Horizontal Pipes Calcs'!E28</f>
        <v>12</v>
      </c>
      <c r="E15" s="158">
        <f>'Horizontal Pipes Calcs'!F28</f>
        <v>0</v>
      </c>
      <c r="F15" s="171">
        <f>'Horizontal Pipes Calcs'!G28</f>
        <v>0</v>
      </c>
      <c r="G15" s="163" t="e">
        <f>FORECAST(H15,INDEX($B$3:$B$45,MATCH(H15,$A$3:$A$45,1)):INDEX($B$3:$B$45,MATCH(H15,$A$3:$A$45,1)+1),INDEX($A$3:$A$45,MATCH(H15,$A$3:$A$45,1)):INDEX($A$3:$A$45,MATCH(H15,$A$3:$A$45,1)+1))</f>
        <v>#N/A</v>
      </c>
      <c r="H15" s="155" t="e">
        <f>'Horizontal Pipes Calcs'!X28</f>
        <v>#N/A</v>
      </c>
      <c r="I15" s="182" t="e">
        <f t="shared" si="0"/>
        <v>#N/A</v>
      </c>
      <c r="J15" s="186"/>
      <c r="AB15" s="104"/>
      <c r="AH15" s="104"/>
      <c r="AN15" s="104"/>
      <c r="AT15" s="104"/>
      <c r="AX15" s="63"/>
    </row>
    <row r="16" spans="1:66" x14ac:dyDescent="0.25">
      <c r="A16" s="2">
        <v>51</v>
      </c>
      <c r="B16" s="2">
        <v>130</v>
      </c>
      <c r="D16" s="79">
        <f>'Horizontal Pipes Calcs'!E29</f>
        <v>13</v>
      </c>
      <c r="E16" s="158">
        <f>'Horizontal Pipes Calcs'!F29</f>
        <v>0</v>
      </c>
      <c r="F16" s="171">
        <f>'Horizontal Pipes Calcs'!G29</f>
        <v>0</v>
      </c>
      <c r="G16" s="163" t="e">
        <f>FORECAST(H16,INDEX($B$3:$B$45,MATCH(H16,$A$3:$A$45,1)):INDEX($B$3:$B$45,MATCH(H16,$A$3:$A$45,1)+1),INDEX($A$3:$A$45,MATCH(H16,$A$3:$A$45,1)):INDEX($A$3:$A$45,MATCH(H16,$A$3:$A$45,1)+1))</f>
        <v>#N/A</v>
      </c>
      <c r="H16" s="155" t="e">
        <f>'Horizontal Pipes Calcs'!X29</f>
        <v>#N/A</v>
      </c>
      <c r="I16" s="182" t="e">
        <f t="shared" si="0"/>
        <v>#N/A</v>
      </c>
      <c r="J16" s="186"/>
      <c r="AA16" s="60"/>
      <c r="AD16" s="60" t="s">
        <v>90</v>
      </c>
      <c r="AG16" s="60"/>
      <c r="AJ16" s="60" t="s">
        <v>208</v>
      </c>
      <c r="AM16" s="60"/>
      <c r="AP16" s="60" t="s">
        <v>208</v>
      </c>
      <c r="AS16" s="60"/>
      <c r="AV16" s="60"/>
      <c r="AX16" s="63"/>
      <c r="AY16" s="60"/>
      <c r="BB16" s="60"/>
      <c r="BE16" s="60"/>
      <c r="BH16" s="60"/>
      <c r="BK16" s="60"/>
      <c r="BN16" s="60"/>
    </row>
    <row r="17" spans="1:66" ht="15.75" thickBot="1" x14ac:dyDescent="0.3">
      <c r="A17" s="2">
        <v>53</v>
      </c>
      <c r="B17" s="2">
        <v>140</v>
      </c>
      <c r="D17" s="142">
        <f>'Horizontal Pipes Calcs'!E30</f>
        <v>14</v>
      </c>
      <c r="E17" s="159">
        <f>'Horizontal Pipes Calcs'!F30</f>
        <v>0</v>
      </c>
      <c r="F17" s="189">
        <f>'Horizontal Pipes Calcs'!G30</f>
        <v>0</v>
      </c>
      <c r="G17" s="165" t="e">
        <f>FORECAST(H17,INDEX($B$3:$B$45,MATCH(H17,$A$3:$A$45,1)):INDEX($B$3:$B$45,MATCH(H17,$A$3:$A$45,1)+1),INDEX($A$3:$A$45,MATCH(H17,$A$3:$A$45,1)):INDEX($A$3:$A$45,MATCH(H17,$A$3:$A$45,1)+1))</f>
        <v>#N/A</v>
      </c>
      <c r="H17" s="166" t="e">
        <f>'Horizontal Pipes Calcs'!X30</f>
        <v>#N/A</v>
      </c>
      <c r="I17" s="183" t="e">
        <f t="shared" si="0"/>
        <v>#N/A</v>
      </c>
      <c r="J17" s="187"/>
      <c r="AX17" s="63"/>
    </row>
    <row r="18" spans="1:66" x14ac:dyDescent="0.25">
      <c r="A18" s="2">
        <v>55</v>
      </c>
      <c r="B18" s="2">
        <v>150</v>
      </c>
      <c r="AX18" s="63"/>
    </row>
    <row r="19" spans="1:66" x14ac:dyDescent="0.25">
      <c r="A19" s="2">
        <v>58</v>
      </c>
      <c r="B19" s="2">
        <v>160</v>
      </c>
      <c r="AB19" s="104"/>
      <c r="AH19" s="104"/>
      <c r="AT19" s="104"/>
      <c r="AX19" s="63"/>
    </row>
    <row r="20" spans="1:66" ht="18" thickBot="1" x14ac:dyDescent="0.35">
      <c r="A20" s="2">
        <v>60</v>
      </c>
      <c r="B20" s="2">
        <v>170</v>
      </c>
      <c r="E20" s="273" t="s">
        <v>236</v>
      </c>
      <c r="F20" s="273"/>
      <c r="G20" s="273"/>
      <c r="H20" s="273"/>
      <c r="I20" s="273"/>
      <c r="AA20" s="60"/>
      <c r="AD20" s="60" t="s">
        <v>223</v>
      </c>
      <c r="AG20" s="60"/>
      <c r="AJ20" s="60"/>
      <c r="AM20" s="60"/>
      <c r="AP20" s="60"/>
      <c r="AS20" s="60"/>
      <c r="AV20" s="60"/>
      <c r="AX20" s="63"/>
      <c r="AY20" s="60"/>
      <c r="BB20" s="60"/>
      <c r="BE20" s="60"/>
      <c r="BH20" s="60"/>
      <c r="BK20" s="60"/>
      <c r="BN20" s="60"/>
    </row>
    <row r="21" spans="1:66" ht="15.75" thickBot="1" x14ac:dyDescent="0.3">
      <c r="A21" s="2">
        <v>62</v>
      </c>
      <c r="B21" s="2">
        <v>180</v>
      </c>
      <c r="E21" s="147" t="s">
        <v>209</v>
      </c>
      <c r="F21" s="148" t="s">
        <v>210</v>
      </c>
      <c r="G21" s="147" t="s">
        <v>62</v>
      </c>
      <c r="H21" s="148" t="s">
        <v>0</v>
      </c>
      <c r="I21" s="149" t="s">
        <v>211</v>
      </c>
      <c r="J21" s="184" t="s">
        <v>237</v>
      </c>
      <c r="AX21" s="63"/>
    </row>
    <row r="22" spans="1:66" x14ac:dyDescent="0.25">
      <c r="A22" s="2">
        <v>65</v>
      </c>
      <c r="B22" s="2">
        <v>190</v>
      </c>
      <c r="D22" s="147" t="str">
        <f>'Horizontal Pipes Calcs'!E70</f>
        <v>Section 2</v>
      </c>
      <c r="E22" s="157" t="str">
        <f>'Horizontal Pipes Calcs'!F52</f>
        <v>HW DOWN DRAIN</v>
      </c>
      <c r="F22" s="170" t="str">
        <f>'Horizontal Pipes Calcs'!G52</f>
        <v>DHW8</v>
      </c>
      <c r="G22" s="168" t="e">
        <f>FORECAST(H22,INDEX($B$3:$B$45,MATCH(H22,$A$3:$A$45,1)):INDEX($B$3:$B$45,MATCH(H22,$A$3:$A$45,1)+1),INDEX($A$3:$A$45,MATCH(H22,$A$3:$A$45,1)):INDEX($A$3:$A$45,MATCH(H22,$A$3:$A$45,1)+1))</f>
        <v>#N/A</v>
      </c>
      <c r="H22" s="161" t="e">
        <f>'Horizontal Pipes Calcs'!X52</f>
        <v>#N/A</v>
      </c>
      <c r="I22" s="162" t="e">
        <f>IF(AND(H22&lt;=750,H22&gt;250),6,IF(AND(H22&lt;=250,H22&gt;120),4,IF(AND(H22&lt;=120,H22&gt;75),3,IF(AND(H22&lt;=75,H22&gt;40),2.5,IF(AND(H22&lt;=40,H22&gt;20),2,IF(AND(H22&lt;=20,H22&gt;14),1.5,IF(AND(H22&lt;=14,H22&gt;7),1.25,IF(AND(H22&lt;=7,H22&gt;3.5),1,IF(AND(H22&lt;=3.5,H22&gt;1.7),0.75,IF(AND(H22&lt;=1.7,H22&gt;0),0.5))))))))))</f>
        <v>#N/A</v>
      </c>
      <c r="J22" s="185"/>
      <c r="AX22" s="63"/>
    </row>
    <row r="23" spans="1:66" x14ac:dyDescent="0.25">
      <c r="A23" s="2">
        <v>67</v>
      </c>
      <c r="B23" s="2">
        <v>200</v>
      </c>
      <c r="D23" s="79" t="str">
        <f>'Horizontal Pipes Calcs'!E71</f>
        <v>Section 3</v>
      </c>
      <c r="E23" s="158" t="str">
        <f>'Horizontal Pipes Calcs'!F53</f>
        <v>DHW8</v>
      </c>
      <c r="F23" s="171" t="str">
        <f>'Horizontal Pipes Calcs'!G53</f>
        <v>SPLIT</v>
      </c>
      <c r="G23" s="156" t="e">
        <f>FORECAST(H23,INDEX($B$3:$B$45,MATCH(H23,$A$3:$A$45,1)):INDEX($B$3:$B$45,MATCH(H23,$A$3:$A$45,1)+1),INDEX($A$3:$A$45,MATCH(H23,$A$3:$A$45,1)):INDEX($A$3:$A$45,MATCH(H23,$A$3:$A$45,1)+1))</f>
        <v>#N/A</v>
      </c>
      <c r="H23" s="155" t="e">
        <f>'Horizontal Pipes Calcs'!X53</f>
        <v>#N/A</v>
      </c>
      <c r="I23" s="164" t="e">
        <f t="shared" ref="I23:I35" si="1">IF(AND(H23&lt;=750,H23&gt;250),6,IF(AND(H23&lt;=250,H23&gt;120),4,IF(AND(H23&lt;=120,H23&gt;75),3,IF(AND(H23&lt;=75,H23&gt;40),2.5,IF(AND(H23&lt;=40,H23&gt;20),2,IF(AND(H23&lt;=20,H23&gt;14),1.5,IF(AND(H23&lt;=14,H23&gt;7),1.25,IF(AND(H23&lt;=7,H23&gt;3.5),1,IF(AND(H23&lt;=3.5,H23&gt;1.7),0.75,IF(AND(H23&lt;=1.7,H23&gt;0),0.5))))))))))</f>
        <v>#N/A</v>
      </c>
      <c r="J23" s="186"/>
      <c r="AB23" s="104"/>
      <c r="AH23" s="104"/>
      <c r="AN23" s="104"/>
      <c r="AT23" s="104"/>
      <c r="AX23" s="63"/>
    </row>
    <row r="24" spans="1:66" x14ac:dyDescent="0.25">
      <c r="A24" s="2">
        <v>68.5</v>
      </c>
      <c r="B24" s="2">
        <v>210</v>
      </c>
      <c r="D24" s="79" t="str">
        <f>'Horizontal Pipes Calcs'!E72</f>
        <v>Section 4</v>
      </c>
      <c r="E24" s="158" t="str">
        <f>'Horizontal Pipes Calcs'!F54</f>
        <v>SPLIT</v>
      </c>
      <c r="F24" s="171" t="str">
        <f>'Horizontal Pipes Calcs'!G54</f>
        <v>DHW3</v>
      </c>
      <c r="G24" s="156" t="e">
        <f>FORECAST(H24,INDEX($B$3:$B$45,MATCH(H24,$A$3:$A$45,1)):INDEX($B$3:$B$45,MATCH(H24,$A$3:$A$45,1)+1),INDEX($A$3:$A$45,MATCH(H24,$A$3:$A$45,1)):INDEX($A$3:$A$45,MATCH(H24,$A$3:$A$45,1)+1))</f>
        <v>#N/A</v>
      </c>
      <c r="H24" s="155" t="e">
        <f>'Horizontal Pipes Calcs'!X54</f>
        <v>#N/A</v>
      </c>
      <c r="I24" s="164" t="e">
        <f t="shared" si="1"/>
        <v>#N/A</v>
      </c>
      <c r="J24" s="186"/>
      <c r="AA24" s="60"/>
      <c r="AD24" s="60" t="s">
        <v>208</v>
      </c>
      <c r="AG24" s="60"/>
      <c r="AJ24" s="60"/>
      <c r="AM24" s="60"/>
      <c r="AP24" s="60"/>
      <c r="AS24" s="60"/>
      <c r="AV24" s="60"/>
      <c r="AX24" s="63"/>
      <c r="AY24" s="60"/>
      <c r="BB24" s="60"/>
      <c r="BE24" s="60"/>
      <c r="BH24" s="60"/>
      <c r="BK24" s="60"/>
      <c r="BN24" s="60"/>
    </row>
    <row r="25" spans="1:66" x14ac:dyDescent="0.25">
      <c r="A25" s="2">
        <v>70</v>
      </c>
      <c r="B25" s="2">
        <v>220</v>
      </c>
      <c r="D25" s="79" t="str">
        <f>'Horizontal Pipes Calcs'!E73</f>
        <v>Section 5</v>
      </c>
      <c r="E25" s="158" t="str">
        <f>'Horizontal Pipes Calcs'!F55</f>
        <v>DHW3</v>
      </c>
      <c r="F25" s="171" t="str">
        <f>'Horizontal Pipes Calcs'!G55</f>
        <v>DHW1</v>
      </c>
      <c r="G25" s="156" t="e">
        <f>FORECAST(H25,INDEX($B$3:$B$45,MATCH(H25,$A$3:$A$45,1)):INDEX($B$3:$B$45,MATCH(H25,$A$3:$A$45,1)+1),INDEX($A$3:$A$45,MATCH(H25,$A$3:$A$45,1)):INDEX($A$3:$A$45,MATCH(H25,$A$3:$A$45,1)+1))</f>
        <v>#N/A</v>
      </c>
      <c r="H25" s="155" t="e">
        <f>'Horizontal Pipes Calcs'!X55</f>
        <v>#N/A</v>
      </c>
      <c r="I25" s="164" t="e">
        <f t="shared" si="1"/>
        <v>#N/A</v>
      </c>
      <c r="J25" s="186"/>
    </row>
    <row r="26" spans="1:66" x14ac:dyDescent="0.25">
      <c r="A26" s="2">
        <v>72</v>
      </c>
      <c r="B26" s="2">
        <v>230</v>
      </c>
      <c r="D26" s="79" t="str">
        <f>'Horizontal Pipes Calcs'!E74</f>
        <v>Section 6</v>
      </c>
      <c r="E26" s="158" t="str">
        <f>'Horizontal Pipes Calcs'!F56</f>
        <v>SPLIT</v>
      </c>
      <c r="F26" s="171" t="str">
        <f>'Horizontal Pipes Calcs'!G56</f>
        <v>DHW4</v>
      </c>
      <c r="G26" s="156" t="e">
        <f>FORECAST(H26,INDEX($B$3:$B$45,MATCH(H26,$A$3:$A$45,1)):INDEX($B$3:$B$45,MATCH(H26,$A$3:$A$45,1)+1),INDEX($A$3:$A$45,MATCH(H26,$A$3:$A$45,1)):INDEX($A$3:$A$45,MATCH(H26,$A$3:$A$45,1)+1))</f>
        <v>#N/A</v>
      </c>
      <c r="H26" s="155" t="e">
        <f>'Horizontal Pipes Calcs'!X56</f>
        <v>#N/A</v>
      </c>
      <c r="I26" s="164" t="e">
        <f t="shared" si="1"/>
        <v>#N/A</v>
      </c>
      <c r="J26" s="186"/>
    </row>
    <row r="27" spans="1:66" x14ac:dyDescent="0.25">
      <c r="A27" s="2">
        <v>75</v>
      </c>
      <c r="B27" s="2">
        <v>240</v>
      </c>
      <c r="D27" s="79" t="str">
        <f>'Horizontal Pipes Calcs'!E75</f>
        <v>Section 7</v>
      </c>
      <c r="E27" s="158" t="str">
        <f>'Horizontal Pipes Calcs'!F57</f>
        <v>DHW4</v>
      </c>
      <c r="F27" s="171" t="str">
        <f>'Horizontal Pipes Calcs'!G57</f>
        <v>DHW5</v>
      </c>
      <c r="G27" s="156" t="e">
        <f>FORECAST(H27,INDEX($B$3:$B$45,MATCH(H27,$A$3:$A$45,1)):INDEX($B$3:$B$45,MATCH(H27,$A$3:$A$45,1)+1),INDEX($A$3:$A$45,MATCH(H27,$A$3:$A$45,1)):INDEX($A$3:$A$45,MATCH(H27,$A$3:$A$45,1)+1))</f>
        <v>#N/A</v>
      </c>
      <c r="H27" s="155" t="e">
        <f>'Horizontal Pipes Calcs'!X57</f>
        <v>#N/A</v>
      </c>
      <c r="I27" s="164" t="e">
        <f t="shared" si="1"/>
        <v>#N/A</v>
      </c>
      <c r="J27" s="186"/>
    </row>
    <row r="28" spans="1:66" x14ac:dyDescent="0.25">
      <c r="A28" s="2">
        <v>78</v>
      </c>
      <c r="B28" s="2">
        <v>250</v>
      </c>
      <c r="D28" s="79" t="str">
        <f>'Horizontal Pipes Calcs'!E76</f>
        <v>Section 8</v>
      </c>
      <c r="E28" s="158" t="str">
        <f>'Horizontal Pipes Calcs'!F58</f>
        <v>DHW5</v>
      </c>
      <c r="F28" s="171" t="str">
        <f>'Horizontal Pipes Calcs'!G58</f>
        <v>DHW7</v>
      </c>
      <c r="G28" s="156" t="e">
        <f>FORECAST(H28,INDEX($B$3:$B$45,MATCH(H28,$A$3:$A$45,1)):INDEX($B$3:$B$45,MATCH(H28,$A$3:$A$45,1)+1),INDEX($A$3:$A$45,MATCH(H28,$A$3:$A$45,1)):INDEX($A$3:$A$45,MATCH(H28,$A$3:$A$45,1)+1))</f>
        <v>#N/A</v>
      </c>
      <c r="H28" s="155" t="e">
        <f>'Horizontal Pipes Calcs'!X58</f>
        <v>#N/A</v>
      </c>
      <c r="I28" s="164" t="e">
        <f t="shared" si="1"/>
        <v>#N/A</v>
      </c>
      <c r="J28" s="186"/>
      <c r="Y28" s="109"/>
      <c r="Z28" s="109"/>
      <c r="AA28" s="109"/>
      <c r="AB28" s="109"/>
      <c r="AC28" s="109"/>
    </row>
    <row r="29" spans="1:66" x14ac:dyDescent="0.25">
      <c r="A29" s="2">
        <v>80</v>
      </c>
      <c r="B29" s="2">
        <v>300</v>
      </c>
      <c r="D29" s="79" t="str">
        <f>'Horizontal Pipes Calcs'!E77</f>
        <v>Section 9</v>
      </c>
      <c r="E29" s="158">
        <f>'Horizontal Pipes Calcs'!F59</f>
        <v>0</v>
      </c>
      <c r="F29" s="171">
        <f>'Horizontal Pipes Calcs'!G59</f>
        <v>0</v>
      </c>
      <c r="G29" s="156" t="e">
        <f>FORECAST(H29,INDEX($B$3:$B$45,MATCH(H29,$A$3:$A$45,1)):INDEX($B$3:$B$45,MATCH(H29,$A$3:$A$45,1)+1),INDEX($A$3:$A$45,MATCH(H29,$A$3:$A$45,1)):INDEX($A$3:$A$45,MATCH(H29,$A$3:$A$45,1)+1))</f>
        <v>#N/A</v>
      </c>
      <c r="H29" s="155" t="e">
        <f>'Horizontal Pipes Calcs'!X59</f>
        <v>#N/A</v>
      </c>
      <c r="I29" s="164" t="e">
        <f t="shared" si="1"/>
        <v>#N/A</v>
      </c>
      <c r="J29" s="186"/>
      <c r="Y29" s="109"/>
      <c r="Z29" s="109"/>
      <c r="AA29" s="109"/>
      <c r="AB29" s="109"/>
      <c r="AC29" s="109"/>
    </row>
    <row r="30" spans="1:66" x14ac:dyDescent="0.25">
      <c r="A30" s="2">
        <v>110</v>
      </c>
      <c r="B30" s="2">
        <v>400</v>
      </c>
      <c r="D30" s="79" t="str">
        <f>'Horizontal Pipes Calcs'!E78</f>
        <v>Section 10</v>
      </c>
      <c r="E30" s="158">
        <f>'Horizontal Pipes Calcs'!F60</f>
        <v>0</v>
      </c>
      <c r="F30" s="171">
        <f>'Horizontal Pipes Calcs'!G60</f>
        <v>0</v>
      </c>
      <c r="G30" s="156" t="e">
        <f>FORECAST(H30,INDEX($B$3:$B$45,MATCH(H30,$A$3:$A$45,1)):INDEX($B$3:$B$45,MATCH(H30,$A$3:$A$45,1)+1),INDEX($A$3:$A$45,MATCH(H30,$A$3:$A$45,1)):INDEX($A$3:$A$45,MATCH(H30,$A$3:$A$45,1)+1))</f>
        <v>#N/A</v>
      </c>
      <c r="H30" s="155" t="e">
        <f>'Horizontal Pipes Calcs'!X60</f>
        <v>#N/A</v>
      </c>
      <c r="I30" s="164" t="e">
        <f t="shared" si="1"/>
        <v>#N/A</v>
      </c>
      <c r="J30" s="186"/>
      <c r="Y30" s="109"/>
      <c r="Z30" s="109"/>
      <c r="AA30" s="109"/>
      <c r="AB30" s="109"/>
      <c r="AC30" s="109"/>
    </row>
    <row r="31" spans="1:66" x14ac:dyDescent="0.25">
      <c r="A31" s="2">
        <v>125</v>
      </c>
      <c r="B31" s="2">
        <v>500</v>
      </c>
      <c r="D31" s="79" t="str">
        <f>'Horizontal Pipes Calcs'!E79</f>
        <v>Section 11</v>
      </c>
      <c r="E31" s="158">
        <f>'Horizontal Pipes Calcs'!F61</f>
        <v>0</v>
      </c>
      <c r="F31" s="171">
        <f>'Horizontal Pipes Calcs'!G61</f>
        <v>0</v>
      </c>
      <c r="G31" s="156" t="e">
        <f>FORECAST(H31,INDEX($B$3:$B$45,MATCH(H31,$A$3:$A$45,1)):INDEX($B$3:$B$45,MATCH(H31,$A$3:$A$45,1)+1),INDEX($A$3:$A$45,MATCH(H31,$A$3:$A$45,1)):INDEX($A$3:$A$45,MATCH(H31,$A$3:$A$45,1)+1))</f>
        <v>#N/A</v>
      </c>
      <c r="H31" s="155" t="e">
        <f>'Horizontal Pipes Calcs'!X61</f>
        <v>#N/A</v>
      </c>
      <c r="I31" s="164" t="e">
        <f t="shared" si="1"/>
        <v>#N/A</v>
      </c>
      <c r="J31" s="186"/>
      <c r="Y31" s="109"/>
      <c r="Z31" s="109"/>
      <c r="AA31" s="109"/>
      <c r="AB31" s="109"/>
      <c r="AC31" s="109"/>
    </row>
    <row r="32" spans="1:66" x14ac:dyDescent="0.25">
      <c r="A32" s="2">
        <v>150</v>
      </c>
      <c r="B32" s="2">
        <v>600</v>
      </c>
      <c r="D32" s="79" t="str">
        <f>'Horizontal Pipes Calcs'!E80</f>
        <v>Section 12</v>
      </c>
      <c r="E32" s="158">
        <f>'Horizontal Pipes Calcs'!F62</f>
        <v>0</v>
      </c>
      <c r="F32" s="171">
        <f>'Horizontal Pipes Calcs'!G62</f>
        <v>0</v>
      </c>
      <c r="G32" s="156" t="e">
        <f>FORECAST(H32,INDEX($B$3:$B$45,MATCH(H32,$A$3:$A$45,1)):INDEX($B$3:$B$45,MATCH(H32,$A$3:$A$45,1)+1),INDEX($A$3:$A$45,MATCH(H32,$A$3:$A$45,1)):INDEX($A$3:$A$45,MATCH(H32,$A$3:$A$45,1)+1))</f>
        <v>#N/A</v>
      </c>
      <c r="H32" s="155" t="e">
        <f>'Horizontal Pipes Calcs'!X62</f>
        <v>#N/A</v>
      </c>
      <c r="I32" s="164" t="e">
        <f t="shared" si="1"/>
        <v>#N/A</v>
      </c>
      <c r="J32" s="186"/>
      <c r="Y32" s="109"/>
      <c r="Z32" s="109"/>
      <c r="AA32" s="109"/>
      <c r="AB32" s="109"/>
      <c r="AC32" s="109"/>
    </row>
    <row r="33" spans="1:10" x14ac:dyDescent="0.25">
      <c r="A33" s="2">
        <v>170</v>
      </c>
      <c r="B33" s="2">
        <v>700</v>
      </c>
      <c r="D33" s="79" t="str">
        <f>'Horizontal Pipes Calcs'!E81</f>
        <v>Section 13</v>
      </c>
      <c r="E33" s="158">
        <f>'Horizontal Pipes Calcs'!F63</f>
        <v>0</v>
      </c>
      <c r="F33" s="171">
        <f>'Horizontal Pipes Calcs'!G63</f>
        <v>0</v>
      </c>
      <c r="G33" s="156" t="e">
        <f>FORECAST(H33,INDEX($B$3:$B$45,MATCH(H33,$A$3:$A$45,1)):INDEX($B$3:$B$45,MATCH(H33,$A$3:$A$45,1)+1),INDEX($A$3:$A$45,MATCH(H33,$A$3:$A$45,1)):INDEX($A$3:$A$45,MATCH(H33,$A$3:$A$45,1)+1))</f>
        <v>#N/A</v>
      </c>
      <c r="H33" s="155" t="e">
        <f>'Horizontal Pipes Calcs'!X63</f>
        <v>#N/A</v>
      </c>
      <c r="I33" s="164" t="e">
        <f t="shared" si="1"/>
        <v>#N/A</v>
      </c>
      <c r="J33" s="186"/>
    </row>
    <row r="34" spans="1:10" x14ac:dyDescent="0.25">
      <c r="A34" s="2">
        <v>180</v>
      </c>
      <c r="B34" s="2">
        <v>800</v>
      </c>
      <c r="D34" s="79" t="str">
        <f>'Horizontal Pipes Calcs'!E82</f>
        <v>Section 14</v>
      </c>
      <c r="E34" s="158">
        <f>'Horizontal Pipes Calcs'!F64</f>
        <v>0</v>
      </c>
      <c r="F34" s="171">
        <f>'Horizontal Pipes Calcs'!G64</f>
        <v>0</v>
      </c>
      <c r="G34" s="156" t="e">
        <f>FORECAST(H34,INDEX($B$3:$B$45,MATCH(H34,$A$3:$A$45,1)):INDEX($B$3:$B$45,MATCH(H34,$A$3:$A$45,1)+1),INDEX($A$3:$A$45,MATCH(H34,$A$3:$A$45,1)):INDEX($A$3:$A$45,MATCH(H34,$A$3:$A$45,1)+1))</f>
        <v>#N/A</v>
      </c>
      <c r="H34" s="155" t="e">
        <f>'Horizontal Pipes Calcs'!X64</f>
        <v>#N/A</v>
      </c>
      <c r="I34" s="164" t="e">
        <f t="shared" si="1"/>
        <v>#N/A</v>
      </c>
      <c r="J34" s="186"/>
    </row>
    <row r="35" spans="1:10" ht="15.75" thickBot="1" x14ac:dyDescent="0.3">
      <c r="A35" s="2">
        <v>200</v>
      </c>
      <c r="B35" s="2">
        <v>900</v>
      </c>
      <c r="D35" s="142" t="str">
        <f>'Horizontal Pipes Calcs'!E83</f>
        <v>Section 15</v>
      </c>
      <c r="E35" s="159">
        <f>'Horizontal Pipes Calcs'!F65</f>
        <v>0</v>
      </c>
      <c r="F35" s="171">
        <f>'Horizontal Pipes Calcs'!G65</f>
        <v>0</v>
      </c>
      <c r="G35" s="169" t="e">
        <f>FORECAST(H35,INDEX($B$3:$B$45,MATCH(H35,$A$3:$A$45,1)):INDEX($B$3:$B$45,MATCH(H35,$A$3:$A$45,1)+1),INDEX($A$3:$A$45,MATCH(H35,$A$3:$A$45,1)):INDEX($A$3:$A$45,MATCH(H35,$A$3:$A$45,1)+1))</f>
        <v>#N/A</v>
      </c>
      <c r="H35" s="166" t="e">
        <f>'Horizontal Pipes Calcs'!X65</f>
        <v>#N/A</v>
      </c>
      <c r="I35" s="167" t="e">
        <f t="shared" si="1"/>
        <v>#N/A</v>
      </c>
      <c r="J35" s="187"/>
    </row>
    <row r="36" spans="1:10" x14ac:dyDescent="0.25">
      <c r="A36" s="2">
        <v>220</v>
      </c>
      <c r="B36" s="2">
        <v>1000</v>
      </c>
    </row>
    <row r="37" spans="1:10" x14ac:dyDescent="0.25">
      <c r="A37" s="2">
        <v>250</v>
      </c>
      <c r="B37" s="2">
        <v>1250</v>
      </c>
    </row>
    <row r="38" spans="1:10" ht="15.75" customHeight="1" x14ac:dyDescent="0.25">
      <c r="A38" s="2">
        <v>270</v>
      </c>
      <c r="B38" s="2">
        <v>1500</v>
      </c>
    </row>
    <row r="39" spans="1:10" ht="15.75" customHeight="1" x14ac:dyDescent="0.25">
      <c r="A39" s="2">
        <v>300</v>
      </c>
      <c r="B39" s="2">
        <v>1750</v>
      </c>
    </row>
    <row r="40" spans="1:10" ht="15.75" customHeight="1" x14ac:dyDescent="0.25">
      <c r="A40" s="2">
        <v>330</v>
      </c>
      <c r="B40" s="2">
        <v>2000</v>
      </c>
    </row>
    <row r="41" spans="1:10" ht="15.75" customHeight="1" x14ac:dyDescent="0.25">
      <c r="A41" s="2">
        <v>350</v>
      </c>
      <c r="B41" s="2">
        <v>2250</v>
      </c>
    </row>
    <row r="42" spans="1:10" ht="15.75" customHeight="1" x14ac:dyDescent="0.25">
      <c r="A42" s="2">
        <v>380</v>
      </c>
      <c r="B42" s="2">
        <v>2500</v>
      </c>
    </row>
    <row r="43" spans="1:10" x14ac:dyDescent="0.25">
      <c r="A43" s="2">
        <v>400</v>
      </c>
      <c r="B43" s="2">
        <v>2750</v>
      </c>
    </row>
    <row r="44" spans="1:10" x14ac:dyDescent="0.25">
      <c r="A44" s="2">
        <v>430</v>
      </c>
      <c r="B44" s="2">
        <v>3000</v>
      </c>
    </row>
  </sheetData>
  <mergeCells count="2">
    <mergeCell ref="E2:I2"/>
    <mergeCell ref="E20:I20"/>
  </mergeCells>
  <phoneticPr fontId="20" type="noConversion"/>
  <conditionalFormatting sqref="W4:AA4">
    <cfRule type="expression" dxfId="44" priority="61">
      <formula>$AA$4&lt;&gt;0</formula>
    </cfRule>
  </conditionalFormatting>
  <conditionalFormatting sqref="AA5:AA7 AA8:AD8">
    <cfRule type="expression" dxfId="43" priority="60">
      <formula>$AD$8&lt;&gt;0</formula>
    </cfRule>
  </conditionalFormatting>
  <conditionalFormatting sqref="AA9:AA11 AA12:AD12">
    <cfRule type="expression" dxfId="42" priority="59">
      <formula>$AD$12&lt;&gt;0</formula>
    </cfRule>
  </conditionalFormatting>
  <conditionalFormatting sqref="AB4:AG4">
    <cfRule type="expression" dxfId="41" priority="58">
      <formula>$AG$4&lt;&gt;0</formula>
    </cfRule>
  </conditionalFormatting>
  <conditionalFormatting sqref="AG5:AG7 AG8:AJ8">
    <cfRule type="expression" dxfId="40" priority="57">
      <formula>$AJ$8&lt;&gt;0</formula>
    </cfRule>
  </conditionalFormatting>
  <conditionalFormatting sqref="AG9:AG11 AG12:AJ12">
    <cfRule type="expression" dxfId="39" priority="55">
      <formula>$AJ$12&lt;&gt;0</formula>
    </cfRule>
  </conditionalFormatting>
  <conditionalFormatting sqref="AA13:AA15 AA16:AD16">
    <cfRule type="expression" dxfId="38" priority="54">
      <formula>$AD$16&lt;&gt;0</formula>
    </cfRule>
  </conditionalFormatting>
  <conditionalFormatting sqref="AG13:AG15 AG16:AJ16">
    <cfRule type="expression" dxfId="37" priority="53">
      <formula>$AJ$16&lt;&gt;0</formula>
    </cfRule>
  </conditionalFormatting>
  <conditionalFormatting sqref="AA17:AA19 AA20:AD20">
    <cfRule type="expression" dxfId="36" priority="52">
      <formula>$AD$20&lt;&gt;0</formula>
    </cfRule>
  </conditionalFormatting>
  <conditionalFormatting sqref="AG17:AG19 AG20:AJ20">
    <cfRule type="expression" dxfId="35" priority="51">
      <formula>$AJ$20&lt;&gt;0</formula>
    </cfRule>
  </conditionalFormatting>
  <conditionalFormatting sqref="AH4:AM4">
    <cfRule type="expression" dxfId="34" priority="50">
      <formula>$AM$4&lt;&gt;0</formula>
    </cfRule>
  </conditionalFormatting>
  <conditionalFormatting sqref="AM5:AM7 AM8:AP8">
    <cfRule type="expression" dxfId="33" priority="48">
      <formula>$AP$8&lt;&gt;0</formula>
    </cfRule>
  </conditionalFormatting>
  <conditionalFormatting sqref="AM9:AM11 AM12:AP12">
    <cfRule type="expression" dxfId="32" priority="47">
      <formula>$AP$12&lt;&gt;0</formula>
    </cfRule>
  </conditionalFormatting>
  <conditionalFormatting sqref="AM13:AM15 AM16:AP16">
    <cfRule type="expression" dxfId="31" priority="46">
      <formula>$AP$16&lt;&gt;0</formula>
    </cfRule>
  </conditionalFormatting>
  <conditionalFormatting sqref="AM17:AM19 AM20:AP20">
    <cfRule type="expression" dxfId="30" priority="45">
      <formula>$AP$20&lt;&gt;0</formula>
    </cfRule>
  </conditionalFormatting>
  <conditionalFormatting sqref="AN4:AS4">
    <cfRule type="expression" dxfId="29" priority="44">
      <formula>$AS$4&lt;&gt;0</formula>
    </cfRule>
  </conditionalFormatting>
  <conditionalFormatting sqref="AS5:AS7 AS8:AV8">
    <cfRule type="expression" dxfId="28" priority="43">
      <formula>$AV$8&lt;&gt;0</formula>
    </cfRule>
  </conditionalFormatting>
  <conditionalFormatting sqref="AS9:AS11 AS12:AV12">
    <cfRule type="expression" dxfId="27" priority="42">
      <formula>$AV$12&lt;&gt;0</formula>
    </cfRule>
  </conditionalFormatting>
  <conditionalFormatting sqref="AS13:AS15 AS16:AV16">
    <cfRule type="expression" dxfId="26" priority="41">
      <formula>$AV$16&lt;&gt;0</formula>
    </cfRule>
  </conditionalFormatting>
  <conditionalFormatting sqref="AS17:AS19 AS20:AV20">
    <cfRule type="expression" dxfId="25" priority="40">
      <formula>$AV$20&lt;&gt;0</formula>
    </cfRule>
  </conditionalFormatting>
  <conditionalFormatting sqref="AT4:AY4">
    <cfRule type="expression" dxfId="24" priority="39">
      <formula>$AY$4&lt;&gt;0</formula>
    </cfRule>
  </conditionalFormatting>
  <conditionalFormatting sqref="AY5:AY7 AY8:BB8">
    <cfRule type="expression" dxfId="23" priority="38">
      <formula>$BB$8&lt;&gt;0</formula>
    </cfRule>
  </conditionalFormatting>
  <conditionalFormatting sqref="AY9:AY11 AY12:BB12">
    <cfRule type="expression" dxfId="22" priority="37">
      <formula>$BB$12&lt;&gt;0</formula>
    </cfRule>
  </conditionalFormatting>
  <conditionalFormatting sqref="AY13:AY15 AY16:BB16">
    <cfRule type="expression" dxfId="21" priority="35">
      <formula>$BB$16&lt;&gt;0</formula>
    </cfRule>
  </conditionalFormatting>
  <conditionalFormatting sqref="AY17:AY19 AY20:BB20">
    <cfRule type="expression" dxfId="20" priority="34">
      <formula>$BB$20&lt;&gt;0</formula>
    </cfRule>
  </conditionalFormatting>
  <conditionalFormatting sqref="AZ4:BE4">
    <cfRule type="expression" dxfId="19" priority="33">
      <formula>$BE$4&lt;&gt;0</formula>
    </cfRule>
  </conditionalFormatting>
  <conditionalFormatting sqref="BE5:BE7 BE8:BH8">
    <cfRule type="expression" dxfId="18" priority="32">
      <formula>$BH$8&lt;&gt;0</formula>
    </cfRule>
  </conditionalFormatting>
  <conditionalFormatting sqref="BE9:BE11 BE12:BH12">
    <cfRule type="expression" dxfId="17" priority="31">
      <formula>$BH$12&lt;&gt;0</formula>
    </cfRule>
  </conditionalFormatting>
  <conditionalFormatting sqref="BE13:BE15 BE16:BH16">
    <cfRule type="expression" dxfId="16" priority="29">
      <formula>$BH$16&lt;&gt;0</formula>
    </cfRule>
  </conditionalFormatting>
  <conditionalFormatting sqref="BE17:BE19 BE20:BH20">
    <cfRule type="expression" dxfId="15" priority="28">
      <formula>$BH$20&lt;&gt;0</formula>
    </cfRule>
  </conditionalFormatting>
  <conditionalFormatting sqref="BF4:BK4">
    <cfRule type="expression" dxfId="14" priority="27">
      <formula>$BK$4&lt;&gt;0</formula>
    </cfRule>
  </conditionalFormatting>
  <conditionalFormatting sqref="BK5:BK7 BK8:BN8">
    <cfRule type="expression" dxfId="13" priority="26">
      <formula>$BN$8&lt;&gt;0</formula>
    </cfRule>
  </conditionalFormatting>
  <conditionalFormatting sqref="BK9:BK11 BK12:BN12">
    <cfRule type="expression" dxfId="12" priority="25">
      <formula>$BN$12&lt;&gt;0</formula>
    </cfRule>
  </conditionalFormatting>
  <conditionalFormatting sqref="BK13:BK15 BK16:BN16">
    <cfRule type="expression" dxfId="11" priority="24">
      <formula>$BN$16&lt;&gt;0</formula>
    </cfRule>
  </conditionalFormatting>
  <conditionalFormatting sqref="BK17:BK19 BK20:BN20">
    <cfRule type="expression" dxfId="10" priority="23">
      <formula>$BN$20&lt;&gt;0</formula>
    </cfRule>
  </conditionalFormatting>
  <conditionalFormatting sqref="AA24">
    <cfRule type="expression" dxfId="9" priority="22">
      <formula>$AJ$20&lt;&gt;0</formula>
    </cfRule>
  </conditionalFormatting>
  <conditionalFormatting sqref="AD24">
    <cfRule type="expression" dxfId="8" priority="21">
      <formula>$AJ$20&lt;&gt;0</formula>
    </cfRule>
  </conditionalFormatting>
  <conditionalFormatting sqref="AA21:AA23 AA24:AD24">
    <cfRule type="expression" dxfId="7" priority="8">
      <formula>$AD$24&lt;&gt;0</formula>
    </cfRule>
  </conditionalFormatting>
  <conditionalFormatting sqref="AG21:AG23 AG24:AJ24">
    <cfRule type="expression" dxfId="6" priority="7">
      <formula>$AJ$24&lt;&gt;0</formula>
    </cfRule>
  </conditionalFormatting>
  <conditionalFormatting sqref="AM21:AM23 AM24:AP24">
    <cfRule type="expression" dxfId="5" priority="6">
      <formula>$AP$24&lt;&gt;0</formula>
    </cfRule>
  </conditionalFormatting>
  <conditionalFormatting sqref="AS21:AS23 AS24:AV24">
    <cfRule type="expression" dxfId="4" priority="5">
      <formula>$AV$24&lt;&gt;0</formula>
    </cfRule>
  </conditionalFormatting>
  <conditionalFormatting sqref="AY21:AY23 AY24:BB24">
    <cfRule type="expression" dxfId="3" priority="3">
      <formula>$BB$24&lt;&gt;0</formula>
    </cfRule>
  </conditionalFormatting>
  <conditionalFormatting sqref="BE21:BE23 BE24:BH24">
    <cfRule type="expression" dxfId="2" priority="2">
      <formula>$BH$24</formula>
    </cfRule>
  </conditionalFormatting>
  <conditionalFormatting sqref="BK21:BK23 BK24:BN24">
    <cfRule type="expression" dxfId="1" priority="1">
      <formula>$BN$24&lt;&gt;0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8F486-8B08-47E5-9EF1-92C99488F704}">
  <dimension ref="A1:BV87"/>
  <sheetViews>
    <sheetView workbookViewId="0">
      <selection activeCell="D53" sqref="D53"/>
    </sheetView>
  </sheetViews>
  <sheetFormatPr defaultRowHeight="15" x14ac:dyDescent="0.25"/>
  <cols>
    <col min="3" max="3" width="8" customWidth="1"/>
    <col min="4" max="4" width="10.140625" customWidth="1"/>
    <col min="6" max="6" width="10.42578125" customWidth="1"/>
    <col min="7" max="7" width="10.28515625" customWidth="1"/>
  </cols>
  <sheetData>
    <row r="1" spans="1:35" ht="15.75" thickBot="1" x14ac:dyDescent="0.3">
      <c r="A1" t="str">
        <f>"1:400"</f>
        <v>1:400</v>
      </c>
    </row>
    <row r="2" spans="1:35" ht="15" customHeight="1" thickBot="1" x14ac:dyDescent="0.35">
      <c r="A2" t="str">
        <f>"1:200"</f>
        <v>1:200</v>
      </c>
      <c r="D2" s="213" t="s">
        <v>248</v>
      </c>
      <c r="E2" s="214" t="s">
        <v>32</v>
      </c>
      <c r="F2" s="215" t="s">
        <v>126</v>
      </c>
      <c r="H2" s="275" t="s">
        <v>92</v>
      </c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76"/>
      <c r="U2" s="277"/>
      <c r="X2" s="291" t="s">
        <v>268</v>
      </c>
      <c r="Y2" s="292"/>
      <c r="Z2" s="292"/>
      <c r="AA2" s="292"/>
      <c r="AB2" s="292"/>
      <c r="AC2" s="293"/>
      <c r="AG2" s="299" t="s">
        <v>126</v>
      </c>
      <c r="AH2" s="297" t="s">
        <v>269</v>
      </c>
      <c r="AI2" s="301" t="s">
        <v>270</v>
      </c>
    </row>
    <row r="3" spans="1:35" ht="31.5" customHeight="1" thickTop="1" thickBot="1" x14ac:dyDescent="0.3">
      <c r="A3" t="str">
        <f>"1:133"</f>
        <v>1:133</v>
      </c>
      <c r="D3" s="216" t="s">
        <v>250</v>
      </c>
      <c r="E3" s="212">
        <v>4</v>
      </c>
      <c r="F3" s="212">
        <v>3</v>
      </c>
      <c r="H3" s="278" t="s">
        <v>86</v>
      </c>
      <c r="I3" s="272"/>
      <c r="J3" s="49"/>
      <c r="K3" s="272" t="s">
        <v>87</v>
      </c>
      <c r="L3" s="272"/>
      <c r="M3" s="49"/>
      <c r="N3" s="272" t="s">
        <v>88</v>
      </c>
      <c r="O3" s="272"/>
      <c r="P3" s="49"/>
      <c r="Q3" s="272" t="s">
        <v>89</v>
      </c>
      <c r="R3" s="272"/>
      <c r="S3" s="49"/>
      <c r="T3" s="272" t="s">
        <v>90</v>
      </c>
      <c r="U3" s="279"/>
      <c r="X3" s="54" t="s">
        <v>261</v>
      </c>
      <c r="Y3" s="55" t="s">
        <v>262</v>
      </c>
      <c r="Z3" s="55" t="s">
        <v>263</v>
      </c>
      <c r="AA3" s="55" t="s">
        <v>264</v>
      </c>
      <c r="AB3" s="55" t="s">
        <v>265</v>
      </c>
      <c r="AC3" s="56" t="s">
        <v>266</v>
      </c>
      <c r="AD3" s="67" t="s">
        <v>249</v>
      </c>
      <c r="AG3" s="300"/>
      <c r="AH3" s="298"/>
      <c r="AI3" s="302"/>
    </row>
    <row r="4" spans="1:35" ht="31.5" customHeight="1" x14ac:dyDescent="0.25">
      <c r="A4" t="str">
        <f>"1:100"</f>
        <v>1:100</v>
      </c>
      <c r="D4" s="60" t="s">
        <v>271</v>
      </c>
      <c r="E4" s="60">
        <v>1</v>
      </c>
      <c r="F4" s="60">
        <v>1.25</v>
      </c>
      <c r="H4" s="79"/>
      <c r="I4" s="80"/>
      <c r="J4" s="80"/>
      <c r="K4" s="81"/>
      <c r="L4" s="80"/>
      <c r="M4" s="80"/>
      <c r="N4" s="81"/>
      <c r="O4" s="80"/>
      <c r="P4" s="80"/>
      <c r="Q4" s="81"/>
      <c r="R4" s="80"/>
      <c r="S4" s="80"/>
      <c r="T4" s="81"/>
      <c r="U4" s="82"/>
      <c r="W4" s="209">
        <v>3</v>
      </c>
      <c r="X4" s="147"/>
      <c r="Y4" s="148"/>
      <c r="Z4" s="148"/>
      <c r="AA4" s="148"/>
      <c r="AB4" s="148">
        <v>27</v>
      </c>
      <c r="AC4" s="149">
        <v>36</v>
      </c>
      <c r="AF4" s="209">
        <v>1</v>
      </c>
      <c r="AG4" s="147">
        <v>1.25</v>
      </c>
      <c r="AH4" s="148">
        <v>2</v>
      </c>
      <c r="AI4" s="149">
        <v>2</v>
      </c>
    </row>
    <row r="5" spans="1:35" ht="31.5" customHeight="1" x14ac:dyDescent="0.25">
      <c r="A5" t="str">
        <f>"1:50"</f>
        <v>1:50</v>
      </c>
      <c r="D5" s="60" t="s">
        <v>252</v>
      </c>
      <c r="E5" s="60">
        <v>1.5</v>
      </c>
      <c r="F5" s="60">
        <v>1.5</v>
      </c>
      <c r="H5" s="294" t="s">
        <v>17</v>
      </c>
      <c r="I5" s="295"/>
      <c r="J5" s="80"/>
      <c r="K5" s="295" t="s">
        <v>18</v>
      </c>
      <c r="L5" s="295"/>
      <c r="M5" s="80"/>
      <c r="N5" s="81"/>
      <c r="O5" s="80"/>
      <c r="P5" s="80"/>
      <c r="Q5" s="81"/>
      <c r="R5" s="80"/>
      <c r="S5" s="80"/>
      <c r="T5" s="81"/>
      <c r="U5" s="82"/>
      <c r="W5" s="210">
        <v>4</v>
      </c>
      <c r="X5" s="79"/>
      <c r="Y5" s="80"/>
      <c r="Z5" s="80"/>
      <c r="AA5" s="80">
        <v>180</v>
      </c>
      <c r="AB5" s="80">
        <v>240</v>
      </c>
      <c r="AC5" s="82">
        <v>300</v>
      </c>
      <c r="AF5" s="210">
        <v>2</v>
      </c>
      <c r="AG5" s="79">
        <v>1.5</v>
      </c>
      <c r="AH5" s="80">
        <v>8</v>
      </c>
      <c r="AI5" s="82">
        <v>5</v>
      </c>
    </row>
    <row r="6" spans="1:35" ht="31.5" customHeight="1" x14ac:dyDescent="0.25">
      <c r="A6" s="218" t="str">
        <f>"1:25"</f>
        <v>1:25</v>
      </c>
      <c r="D6" s="217" t="s">
        <v>6</v>
      </c>
      <c r="E6" s="60">
        <v>1</v>
      </c>
      <c r="F6" s="60">
        <v>1.5</v>
      </c>
      <c r="H6" s="9" t="s">
        <v>250</v>
      </c>
      <c r="I6" s="20">
        <v>1</v>
      </c>
      <c r="J6" s="80"/>
      <c r="K6" s="9" t="s">
        <v>250</v>
      </c>
      <c r="L6" s="20">
        <v>0</v>
      </c>
      <c r="M6" s="80"/>
      <c r="N6" s="9" t="s">
        <v>250</v>
      </c>
      <c r="O6" s="20">
        <v>0</v>
      </c>
      <c r="P6" s="80"/>
      <c r="Q6" s="9" t="s">
        <v>250</v>
      </c>
      <c r="R6" s="20">
        <v>1</v>
      </c>
      <c r="S6" s="80"/>
      <c r="T6" s="9" t="s">
        <v>250</v>
      </c>
      <c r="U6" s="83">
        <v>0</v>
      </c>
      <c r="W6" s="210">
        <v>5</v>
      </c>
      <c r="X6" s="79"/>
      <c r="Y6" s="80"/>
      <c r="Z6" s="80">
        <v>380</v>
      </c>
      <c r="AA6" s="80">
        <v>390</v>
      </c>
      <c r="AB6" s="80">
        <v>480</v>
      </c>
      <c r="AC6" s="82">
        <v>670</v>
      </c>
      <c r="AF6" s="210">
        <v>3</v>
      </c>
      <c r="AG6" s="79">
        <v>2</v>
      </c>
      <c r="AH6" s="80">
        <v>24</v>
      </c>
      <c r="AI6" s="82">
        <v>10</v>
      </c>
    </row>
    <row r="7" spans="1:35" ht="31.5" customHeight="1" x14ac:dyDescent="0.25">
      <c r="D7" s="60" t="s">
        <v>251</v>
      </c>
      <c r="E7" s="60">
        <v>1.5</v>
      </c>
      <c r="F7" s="60">
        <v>1.5</v>
      </c>
      <c r="H7" s="9" t="s">
        <v>271</v>
      </c>
      <c r="I7" s="21">
        <v>1</v>
      </c>
      <c r="J7" s="80"/>
      <c r="K7" s="9" t="s">
        <v>271</v>
      </c>
      <c r="L7" s="21">
        <v>0</v>
      </c>
      <c r="M7" s="80"/>
      <c r="N7" s="9" t="s">
        <v>271</v>
      </c>
      <c r="O7" s="21">
        <v>0</v>
      </c>
      <c r="P7" s="80"/>
      <c r="Q7" s="9" t="s">
        <v>271</v>
      </c>
      <c r="R7" s="21">
        <v>1</v>
      </c>
      <c r="S7" s="80"/>
      <c r="T7" s="9" t="s">
        <v>271</v>
      </c>
      <c r="U7" s="84">
        <v>0</v>
      </c>
      <c r="W7" s="210">
        <v>6</v>
      </c>
      <c r="X7" s="79"/>
      <c r="Y7" s="80"/>
      <c r="Z7" s="80">
        <v>600</v>
      </c>
      <c r="AA7" s="80">
        <v>700</v>
      </c>
      <c r="AB7" s="80">
        <v>840</v>
      </c>
      <c r="AC7" s="82">
        <v>1300</v>
      </c>
      <c r="AF7" s="210">
        <v>4</v>
      </c>
      <c r="AG7" s="79">
        <v>3</v>
      </c>
      <c r="AH7" s="80">
        <v>102</v>
      </c>
      <c r="AI7" s="82">
        <v>18</v>
      </c>
    </row>
    <row r="8" spans="1:35" ht="31.5" customHeight="1" x14ac:dyDescent="0.25">
      <c r="A8" t="s">
        <v>253</v>
      </c>
      <c r="D8" s="217" t="s">
        <v>273</v>
      </c>
      <c r="E8" s="60"/>
      <c r="F8" s="60">
        <v>2</v>
      </c>
      <c r="H8" s="9" t="s">
        <v>252</v>
      </c>
      <c r="I8" s="20">
        <v>1</v>
      </c>
      <c r="J8" s="80"/>
      <c r="K8" s="9" t="s">
        <v>252</v>
      </c>
      <c r="L8" s="20">
        <v>0</v>
      </c>
      <c r="M8" s="80"/>
      <c r="N8" s="9" t="s">
        <v>252</v>
      </c>
      <c r="O8" s="20">
        <v>0</v>
      </c>
      <c r="P8" s="80"/>
      <c r="Q8" s="9" t="s">
        <v>252</v>
      </c>
      <c r="R8" s="20">
        <v>0</v>
      </c>
      <c r="S8" s="80"/>
      <c r="T8" s="9" t="s">
        <v>252</v>
      </c>
      <c r="U8" s="83">
        <v>1</v>
      </c>
      <c r="W8" s="210">
        <v>8</v>
      </c>
      <c r="X8" s="79"/>
      <c r="Y8" s="80">
        <v>1400</v>
      </c>
      <c r="Z8" s="80">
        <v>1500</v>
      </c>
      <c r="AA8" s="80">
        <v>1600</v>
      </c>
      <c r="AB8" s="80">
        <v>2250</v>
      </c>
      <c r="AC8" s="82">
        <v>3370</v>
      </c>
      <c r="AF8" s="210">
        <v>5</v>
      </c>
      <c r="AG8" s="79">
        <v>4</v>
      </c>
      <c r="AH8" s="80">
        <v>540</v>
      </c>
      <c r="AI8" s="82">
        <v>100</v>
      </c>
    </row>
    <row r="9" spans="1:35" ht="31.5" customHeight="1" x14ac:dyDescent="0.25">
      <c r="A9" t="s">
        <v>254</v>
      </c>
      <c r="D9" s="60"/>
      <c r="E9" s="60"/>
      <c r="F9" s="60"/>
      <c r="H9" s="9" t="s">
        <v>6</v>
      </c>
      <c r="I9" s="21">
        <v>0</v>
      </c>
      <c r="J9" s="80"/>
      <c r="K9" s="9" t="s">
        <v>6</v>
      </c>
      <c r="L9" s="21">
        <v>1</v>
      </c>
      <c r="M9" s="80"/>
      <c r="N9" s="9" t="s">
        <v>6</v>
      </c>
      <c r="O9" s="21">
        <v>0</v>
      </c>
      <c r="P9" s="80"/>
      <c r="Q9" s="9" t="s">
        <v>6</v>
      </c>
      <c r="R9" s="21">
        <v>0</v>
      </c>
      <c r="S9" s="80"/>
      <c r="T9" s="9" t="s">
        <v>6</v>
      </c>
      <c r="U9" s="84">
        <v>0</v>
      </c>
      <c r="W9" s="210">
        <v>10</v>
      </c>
      <c r="X9" s="79"/>
      <c r="Y9" s="80">
        <v>2500</v>
      </c>
      <c r="Z9" s="80">
        <v>2700</v>
      </c>
      <c r="AA9" s="80">
        <v>3000</v>
      </c>
      <c r="AB9" s="80">
        <v>4500</v>
      </c>
      <c r="AC9" s="82">
        <v>6500</v>
      </c>
      <c r="AF9" s="210">
        <v>6</v>
      </c>
      <c r="AG9" s="79">
        <v>5</v>
      </c>
      <c r="AH9" s="80">
        <v>1400</v>
      </c>
      <c r="AI9" s="82">
        <v>250</v>
      </c>
    </row>
    <row r="10" spans="1:35" ht="31.5" customHeight="1" x14ac:dyDescent="0.25">
      <c r="A10" t="s">
        <v>255</v>
      </c>
      <c r="D10" s="60"/>
      <c r="E10" s="60"/>
      <c r="F10" s="60"/>
      <c r="H10" s="139" t="s">
        <v>251</v>
      </c>
      <c r="I10" s="140">
        <v>0</v>
      </c>
      <c r="J10" s="80"/>
      <c r="K10" s="139" t="s">
        <v>251</v>
      </c>
      <c r="L10" s="140">
        <v>1</v>
      </c>
      <c r="M10" s="80"/>
      <c r="N10" s="139" t="s">
        <v>251</v>
      </c>
      <c r="O10" s="140">
        <v>0</v>
      </c>
      <c r="P10" s="80"/>
      <c r="Q10" s="139" t="s">
        <v>251</v>
      </c>
      <c r="R10" s="140">
        <v>0</v>
      </c>
      <c r="S10" s="80"/>
      <c r="T10" s="139" t="s">
        <v>251</v>
      </c>
      <c r="U10" s="141">
        <v>0</v>
      </c>
      <c r="W10" s="210">
        <v>12</v>
      </c>
      <c r="X10" s="79">
        <v>2240</v>
      </c>
      <c r="Y10" s="80">
        <v>3900</v>
      </c>
      <c r="Z10" s="80">
        <v>4500</v>
      </c>
      <c r="AA10" s="80">
        <v>5400</v>
      </c>
      <c r="AB10" s="80">
        <v>8300</v>
      </c>
      <c r="AC10" s="82">
        <v>13000</v>
      </c>
      <c r="AF10" s="210">
        <v>7</v>
      </c>
      <c r="AG10" s="79">
        <v>6</v>
      </c>
      <c r="AH10" s="80">
        <v>2900</v>
      </c>
      <c r="AI10" s="82">
        <v>500</v>
      </c>
    </row>
    <row r="11" spans="1:35" ht="31.5" customHeight="1" thickBot="1" x14ac:dyDescent="0.3">
      <c r="A11" t="s">
        <v>256</v>
      </c>
      <c r="D11" s="60"/>
      <c r="E11" s="60"/>
      <c r="F11" s="60"/>
      <c r="H11" s="139" t="s">
        <v>272</v>
      </c>
      <c r="I11" s="140">
        <v>0</v>
      </c>
      <c r="J11" s="80"/>
      <c r="K11" s="139" t="s">
        <v>272</v>
      </c>
      <c r="L11" s="140">
        <v>0</v>
      </c>
      <c r="M11" s="80"/>
      <c r="N11" s="139" t="s">
        <v>272</v>
      </c>
      <c r="O11" s="140">
        <v>1</v>
      </c>
      <c r="P11" s="80"/>
      <c r="Q11" s="139" t="s">
        <v>272</v>
      </c>
      <c r="R11" s="140">
        <v>0</v>
      </c>
      <c r="S11" s="80"/>
      <c r="T11" s="139" t="s">
        <v>272</v>
      </c>
      <c r="U11" s="141">
        <v>0</v>
      </c>
      <c r="W11" s="211">
        <v>15</v>
      </c>
      <c r="X11" s="142">
        <v>4800</v>
      </c>
      <c r="Y11" s="87">
        <v>7000</v>
      </c>
      <c r="Z11" s="87">
        <v>9300</v>
      </c>
      <c r="AA11" s="87">
        <v>10400</v>
      </c>
      <c r="AB11" s="87">
        <v>16300</v>
      </c>
      <c r="AC11" s="219">
        <v>22500</v>
      </c>
      <c r="AF11" s="210">
        <v>8</v>
      </c>
      <c r="AG11" s="79">
        <v>8</v>
      </c>
      <c r="AH11" s="80">
        <v>7600</v>
      </c>
      <c r="AI11" s="82">
        <v>830</v>
      </c>
    </row>
    <row r="12" spans="1:35" x14ac:dyDescent="0.25">
      <c r="A12" t="s">
        <v>257</v>
      </c>
      <c r="H12" s="139"/>
      <c r="I12" s="140">
        <v>0</v>
      </c>
      <c r="J12" s="80"/>
      <c r="K12" s="139"/>
      <c r="L12" s="140">
        <v>0</v>
      </c>
      <c r="M12" s="80"/>
      <c r="N12" s="139"/>
      <c r="O12" s="140">
        <v>0</v>
      </c>
      <c r="P12" s="80"/>
      <c r="Q12" s="139"/>
      <c r="R12" s="140">
        <v>0</v>
      </c>
      <c r="S12" s="80"/>
      <c r="T12" s="139"/>
      <c r="U12" s="141">
        <v>0</v>
      </c>
      <c r="W12" s="220" t="s">
        <v>267</v>
      </c>
      <c r="X12" s="148"/>
      <c r="AF12" s="210">
        <v>9</v>
      </c>
      <c r="AG12" s="79">
        <v>10</v>
      </c>
      <c r="AH12" s="80">
        <v>15000</v>
      </c>
      <c r="AI12" s="82">
        <v>2700</v>
      </c>
    </row>
    <row r="13" spans="1:35" ht="15.75" thickBot="1" x14ac:dyDescent="0.3">
      <c r="A13" t="s">
        <v>258</v>
      </c>
      <c r="H13" s="85"/>
      <c r="I13" s="86">
        <v>0</v>
      </c>
      <c r="J13" s="87"/>
      <c r="K13" s="85"/>
      <c r="L13" s="86">
        <v>0</v>
      </c>
      <c r="M13" s="87"/>
      <c r="N13" s="85"/>
      <c r="O13" s="86">
        <v>0</v>
      </c>
      <c r="P13" s="87"/>
      <c r="Q13" s="85"/>
      <c r="R13" s="86">
        <v>0</v>
      </c>
      <c r="S13" s="87"/>
      <c r="T13" s="85"/>
      <c r="U13" s="88">
        <v>0</v>
      </c>
      <c r="AF13" s="210">
        <v>10</v>
      </c>
      <c r="AG13" s="79">
        <v>12</v>
      </c>
      <c r="AH13" s="80">
        <v>26000</v>
      </c>
      <c r="AI13" s="82">
        <v>4680</v>
      </c>
    </row>
    <row r="14" spans="1:35" ht="15.75" thickBot="1" x14ac:dyDescent="0.3">
      <c r="A14" t="s">
        <v>259</v>
      </c>
      <c r="H14" s="143" t="s">
        <v>62</v>
      </c>
      <c r="I14" s="144">
        <f>(I6*E3)+(I7*E4)+(I8*E5)+(I9*E6)+(I10*E7)+(I11*E8)</f>
        <v>6.5</v>
      </c>
      <c r="J14" s="109"/>
      <c r="K14" s="143" t="s">
        <v>62</v>
      </c>
      <c r="L14" s="144">
        <f>(L6*E3)+(L7*E4)+(L8*E5)+(L9*E6)+(L10*E7)+(L11*E8)</f>
        <v>2.5</v>
      </c>
      <c r="M14" s="109"/>
      <c r="N14" s="143" t="s">
        <v>62</v>
      </c>
      <c r="O14" s="144">
        <f>(O6*E3)+(O7*E4)+(O8*E5)+(O9*E6)+(O10*E7)+(O11*E8)</f>
        <v>0</v>
      </c>
      <c r="P14" s="109"/>
      <c r="Q14" s="143" t="s">
        <v>62</v>
      </c>
      <c r="R14" s="144">
        <f>(R6*E3)+(R7*E4)+(R8*E5)+(R9*E6)+(R10*E7)+(R11*E8)</f>
        <v>5</v>
      </c>
      <c r="S14" s="109"/>
      <c r="T14" s="143" t="s">
        <v>62</v>
      </c>
      <c r="U14" s="144">
        <f>(U6*E3)+(U7*E4)+(U8*E5)+(U9*E6)+(U10*E7)+(U11*E8)</f>
        <v>1.5</v>
      </c>
      <c r="AF14" s="211">
        <v>11</v>
      </c>
      <c r="AG14" s="142">
        <v>15</v>
      </c>
      <c r="AH14" s="87">
        <v>50000</v>
      </c>
      <c r="AI14" s="219">
        <v>9000</v>
      </c>
    </row>
    <row r="15" spans="1:35" ht="16.5" thickTop="1" thickBot="1" x14ac:dyDescent="0.3">
      <c r="A15" t="s">
        <v>260</v>
      </c>
      <c r="H15" s="50" t="s">
        <v>126</v>
      </c>
      <c r="I15" s="51">
        <f>MAX(IF(I6&lt;&gt;0,$F$3,0),IF(I7&lt;&gt;0,$F$4,0),IF(I8&lt;&gt;0,$F$5,0),IF(I9&lt;&gt;0,$F$6,0),IF(I10&lt;&gt;0,$F$7,0),IF(I11&lt;&gt;0,$F$8,0))</f>
        <v>3</v>
      </c>
      <c r="K15" s="50" t="s">
        <v>126</v>
      </c>
      <c r="L15" s="51">
        <f t="shared" ref="L15:U15" si="0">MAX(IF(L6&lt;&gt;0,$F$3,0),IF(L7&lt;&gt;0,$F$4,0),IF(L8&lt;&gt;0,$F$5,0),IF(L9&lt;&gt;0,$F$6,0),IF(L10&lt;&gt;0,$F$7,0),IF(L11&lt;&gt;0,$F$8,0))</f>
        <v>1.5</v>
      </c>
      <c r="N15" s="50" t="s">
        <v>126</v>
      </c>
      <c r="O15" s="51">
        <f t="shared" si="0"/>
        <v>2</v>
      </c>
      <c r="Q15" s="50" t="s">
        <v>126</v>
      </c>
      <c r="R15" s="51">
        <f t="shared" si="0"/>
        <v>3</v>
      </c>
      <c r="T15" s="50" t="s">
        <v>126</v>
      </c>
      <c r="U15" s="51">
        <f t="shared" si="0"/>
        <v>1.5</v>
      </c>
    </row>
    <row r="16" spans="1:35" ht="16.5" thickTop="1" thickBot="1" x14ac:dyDescent="0.3">
      <c r="H16" s="50" t="s">
        <v>249</v>
      </c>
      <c r="I16" s="96"/>
      <c r="K16" s="50" t="s">
        <v>249</v>
      </c>
      <c r="L16" s="96"/>
      <c r="N16" s="50" t="s">
        <v>249</v>
      </c>
      <c r="O16" s="96"/>
      <c r="Q16" s="50" t="s">
        <v>249</v>
      </c>
      <c r="R16" s="96"/>
      <c r="T16" s="50" t="s">
        <v>249</v>
      </c>
      <c r="U16" s="96"/>
    </row>
    <row r="17" spans="3:74" ht="15.75" thickTop="1" x14ac:dyDescent="0.25"/>
    <row r="18" spans="3:74" x14ac:dyDescent="0.25">
      <c r="C18" s="80"/>
    </row>
    <row r="21" spans="3:74" ht="17.25" x14ac:dyDescent="0.3">
      <c r="C21" s="80"/>
      <c r="D21" s="296" t="s">
        <v>274</v>
      </c>
      <c r="E21" s="296"/>
      <c r="F21" s="296"/>
      <c r="G21" s="296"/>
      <c r="H21" s="296"/>
      <c r="I21" s="296"/>
      <c r="J21" s="296"/>
      <c r="K21" s="296"/>
      <c r="L21" s="296"/>
      <c r="M21" s="296"/>
      <c r="N21" s="296"/>
      <c r="O21" s="296"/>
      <c r="P21" s="296"/>
      <c r="Q21" s="296"/>
      <c r="R21" s="296"/>
      <c r="S21" s="296"/>
      <c r="T21" s="296"/>
      <c r="U21" s="296"/>
      <c r="V21" s="296"/>
      <c r="W21" s="296"/>
      <c r="X21" s="296"/>
      <c r="Y21" s="296"/>
      <c r="Z21" s="296"/>
    </row>
    <row r="22" spans="3:74" ht="18" thickBot="1" x14ac:dyDescent="0.35">
      <c r="D22" s="89">
        <v>1</v>
      </c>
      <c r="E22" s="89">
        <v>2</v>
      </c>
      <c r="F22" s="89">
        <v>3</v>
      </c>
      <c r="G22" s="89">
        <v>4</v>
      </c>
      <c r="H22" s="89">
        <v>5</v>
      </c>
      <c r="I22" s="89">
        <v>6</v>
      </c>
      <c r="J22" s="89">
        <v>7</v>
      </c>
      <c r="K22" s="89">
        <v>8</v>
      </c>
      <c r="L22" s="89">
        <v>9</v>
      </c>
      <c r="M22" s="89">
        <v>10</v>
      </c>
      <c r="N22" s="89">
        <v>11</v>
      </c>
      <c r="O22" s="89">
        <v>12</v>
      </c>
      <c r="P22" s="89">
        <v>13</v>
      </c>
      <c r="Q22" s="53">
        <v>14</v>
      </c>
      <c r="R22" s="53">
        <v>15</v>
      </c>
      <c r="S22" s="53">
        <v>16</v>
      </c>
      <c r="T22" s="53">
        <v>17</v>
      </c>
      <c r="U22" s="53">
        <v>18</v>
      </c>
      <c r="V22" s="53">
        <v>19</v>
      </c>
      <c r="W22" s="53">
        <v>20</v>
      </c>
      <c r="X22" s="53">
        <v>21</v>
      </c>
      <c r="Y22" s="53">
        <v>22</v>
      </c>
      <c r="Z22" s="53">
        <v>23</v>
      </c>
      <c r="AB22" s="281" t="s">
        <v>275</v>
      </c>
      <c r="AC22" s="281"/>
      <c r="AD22" s="280">
        <v>1</v>
      </c>
      <c r="AE22" s="280"/>
      <c r="AF22" s="280"/>
      <c r="AG22" s="280">
        <v>2</v>
      </c>
      <c r="AH22" s="280"/>
      <c r="AI22" s="280"/>
      <c r="AJ22" s="280">
        <v>3</v>
      </c>
      <c r="AK22" s="280"/>
      <c r="AL22" s="280"/>
      <c r="AM22" s="280">
        <v>4</v>
      </c>
      <c r="AN22" s="280"/>
      <c r="AO22" s="280"/>
      <c r="AP22" s="280">
        <v>5</v>
      </c>
      <c r="AQ22" s="280"/>
      <c r="AR22" s="280"/>
      <c r="AS22" s="280">
        <v>6</v>
      </c>
      <c r="AT22" s="280"/>
      <c r="AU22" s="280"/>
      <c r="AV22" s="280">
        <v>7</v>
      </c>
      <c r="AW22" s="280"/>
      <c r="AX22" s="280"/>
      <c r="AY22" s="280">
        <v>8</v>
      </c>
      <c r="AZ22" s="280"/>
      <c r="BA22" s="280"/>
      <c r="BB22" s="280">
        <v>9</v>
      </c>
      <c r="BC22" s="280"/>
      <c r="BD22" s="280"/>
      <c r="BE22" s="280">
        <v>10</v>
      </c>
      <c r="BF22" s="280"/>
      <c r="BG22" s="280"/>
      <c r="BH22" s="280">
        <v>11</v>
      </c>
      <c r="BI22" s="280"/>
      <c r="BJ22" s="280"/>
      <c r="BK22" s="280">
        <v>12</v>
      </c>
      <c r="BL22" s="280"/>
      <c r="BM22" s="280"/>
      <c r="BN22" s="280">
        <v>13</v>
      </c>
      <c r="BO22" s="280"/>
      <c r="BP22" s="280"/>
      <c r="BQ22" s="280">
        <v>14</v>
      </c>
      <c r="BR22" s="280"/>
      <c r="BS22" s="280"/>
      <c r="BT22" s="280">
        <v>15</v>
      </c>
      <c r="BU22" s="280"/>
      <c r="BV22" s="280"/>
    </row>
    <row r="23" spans="3:74" ht="15.75" thickBot="1" x14ac:dyDescent="0.3">
      <c r="C23" s="90" t="s">
        <v>276</v>
      </c>
      <c r="D23" s="113"/>
      <c r="E23" s="114"/>
      <c r="F23" s="115"/>
      <c r="G23" s="114"/>
      <c r="H23" s="115" t="s">
        <v>86</v>
      </c>
      <c r="I23" s="114"/>
      <c r="J23" s="115" t="s">
        <v>88</v>
      </c>
      <c r="K23" s="114" t="s">
        <v>87</v>
      </c>
      <c r="L23" s="115" t="s">
        <v>88</v>
      </c>
      <c r="M23" s="114" t="s">
        <v>86</v>
      </c>
      <c r="N23" s="115" t="s">
        <v>86</v>
      </c>
      <c r="O23" s="114" t="s">
        <v>88</v>
      </c>
      <c r="P23" s="115" t="s">
        <v>87</v>
      </c>
      <c r="Q23" s="114"/>
      <c r="R23" s="115" t="s">
        <v>87</v>
      </c>
      <c r="S23" s="114"/>
      <c r="T23" s="115"/>
      <c r="U23" s="114"/>
      <c r="V23" s="115"/>
      <c r="W23" s="114"/>
      <c r="X23" s="115"/>
      <c r="Y23" s="114"/>
      <c r="Z23" s="115"/>
      <c r="AB23" s="109"/>
      <c r="AC23" s="95" t="s">
        <v>63</v>
      </c>
      <c r="AD23" s="92" t="s">
        <v>32</v>
      </c>
      <c r="AE23" s="93" t="s">
        <v>126</v>
      </c>
      <c r="AF23" s="94" t="s">
        <v>249</v>
      </c>
      <c r="AG23" s="92" t="s">
        <v>32</v>
      </c>
      <c r="AH23" s="93" t="s">
        <v>126</v>
      </c>
      <c r="AI23" s="94" t="s">
        <v>249</v>
      </c>
      <c r="AJ23" s="92" t="s">
        <v>32</v>
      </c>
      <c r="AK23" s="93" t="s">
        <v>126</v>
      </c>
      <c r="AL23" s="94" t="s">
        <v>249</v>
      </c>
      <c r="AM23" s="92" t="s">
        <v>32</v>
      </c>
      <c r="AN23" s="93" t="s">
        <v>126</v>
      </c>
      <c r="AO23" s="94" t="s">
        <v>249</v>
      </c>
      <c r="AP23" s="92" t="s">
        <v>32</v>
      </c>
      <c r="AQ23" s="93" t="s">
        <v>126</v>
      </c>
      <c r="AR23" s="94" t="s">
        <v>249</v>
      </c>
      <c r="AS23" s="92" t="s">
        <v>32</v>
      </c>
      <c r="AT23" s="93" t="s">
        <v>126</v>
      </c>
      <c r="AU23" s="94" t="s">
        <v>249</v>
      </c>
      <c r="AV23" s="92" t="s">
        <v>32</v>
      </c>
      <c r="AW23" s="93" t="s">
        <v>126</v>
      </c>
      <c r="AX23" s="94" t="s">
        <v>249</v>
      </c>
      <c r="AY23" s="92" t="s">
        <v>32</v>
      </c>
      <c r="AZ23" s="93" t="s">
        <v>126</v>
      </c>
      <c r="BA23" s="94" t="s">
        <v>249</v>
      </c>
      <c r="BB23" s="92" t="s">
        <v>32</v>
      </c>
      <c r="BC23" s="93" t="s">
        <v>126</v>
      </c>
      <c r="BD23" s="94" t="s">
        <v>249</v>
      </c>
      <c r="BE23" s="92" t="s">
        <v>32</v>
      </c>
      <c r="BF23" s="93" t="s">
        <v>126</v>
      </c>
      <c r="BG23" s="94" t="s">
        <v>249</v>
      </c>
      <c r="BH23" s="92" t="s">
        <v>32</v>
      </c>
      <c r="BI23" s="93" t="s">
        <v>126</v>
      </c>
      <c r="BJ23" s="94" t="s">
        <v>249</v>
      </c>
      <c r="BK23" s="92" t="s">
        <v>32</v>
      </c>
      <c r="BL23" s="93" t="s">
        <v>126</v>
      </c>
      <c r="BM23" s="94" t="s">
        <v>249</v>
      </c>
      <c r="BN23" s="92" t="s">
        <v>32</v>
      </c>
      <c r="BO23" s="93" t="s">
        <v>126</v>
      </c>
      <c r="BP23" s="94" t="s">
        <v>249</v>
      </c>
      <c r="BQ23" s="92" t="s">
        <v>32</v>
      </c>
      <c r="BR23" s="93" t="s">
        <v>126</v>
      </c>
      <c r="BS23" s="94" t="s">
        <v>249</v>
      </c>
      <c r="BT23" s="92" t="s">
        <v>32</v>
      </c>
      <c r="BU23" s="93" t="s">
        <v>126</v>
      </c>
      <c r="BV23" s="94" t="s">
        <v>249</v>
      </c>
    </row>
    <row r="24" spans="3:74" ht="15.75" thickBot="1" x14ac:dyDescent="0.3">
      <c r="C24" s="91" t="s">
        <v>277</v>
      </c>
      <c r="D24" s="116"/>
      <c r="E24" s="112"/>
      <c r="F24" s="111"/>
      <c r="G24" s="112"/>
      <c r="H24" s="111" t="s">
        <v>86</v>
      </c>
      <c r="I24" s="112"/>
      <c r="J24" s="111" t="s">
        <v>88</v>
      </c>
      <c r="K24" s="112" t="s">
        <v>87</v>
      </c>
      <c r="L24" s="111" t="s">
        <v>88</v>
      </c>
      <c r="M24" s="112" t="s">
        <v>86</v>
      </c>
      <c r="N24" s="111" t="s">
        <v>86</v>
      </c>
      <c r="O24" s="112" t="s">
        <v>88</v>
      </c>
      <c r="P24" s="111" t="s">
        <v>87</v>
      </c>
      <c r="Q24" s="112"/>
      <c r="R24" s="111" t="s">
        <v>87</v>
      </c>
      <c r="S24" s="112"/>
      <c r="T24" s="111"/>
      <c r="U24" s="112"/>
      <c r="V24" s="111"/>
      <c r="W24" s="112"/>
      <c r="X24" s="111"/>
      <c r="Y24" s="112"/>
      <c r="Z24" s="111"/>
      <c r="AB24" s="66"/>
      <c r="AC24" s="95" t="s">
        <v>276</v>
      </c>
      <c r="AD24" s="51">
        <f>IF(D23="A",$I$14,IF(D23="B",$L$14,IF(D23="C",$O$14,IF(D23="D",$R$14,IF(D23="E",$U$14,0)))))</f>
        <v>0</v>
      </c>
      <c r="AE24" s="51">
        <f>IF(D23="A",$I$15,IF(D23="B",$L$15,IF(D23="C",$O$15,IF(D23="D",$R$15,IF(D23="E",$U$15,0)))))</f>
        <v>0</v>
      </c>
      <c r="AF24" s="51">
        <f>IF(D23="A",$I$16,IF(D23="B",$L$16,IF(D23="C",$O$16,IF(D23="D",$R$16,IF(D23="E",$U$16,0)))))</f>
        <v>0</v>
      </c>
      <c r="AG24" s="51">
        <f>IF(E23="A",$I$14,IF(E23="B",$L$14,IF(E23="C",$O$14,IF(E23="D",$R$14,IF(E23="E",$U$14,0)))))</f>
        <v>0</v>
      </c>
      <c r="AH24" s="51">
        <f>IF(E23="A",$I$15,IF(E23="B",$L$15,IF(E23="C",$O$15,IF(E23="D",$R$15,IF(E23="E",$U$15,0)))))</f>
        <v>0</v>
      </c>
      <c r="AI24" s="51">
        <f>IF(E23="A",$I$16,IF(E23="B",$L$16,IF(E23="C",$O$16,IF(E23="D",$R$16,IF(E23="E",$U$16,0)))))</f>
        <v>0</v>
      </c>
      <c r="AJ24" s="51">
        <f>IF(F23="A",$I$14,IF(F23="B",$L$14,IF(F23="C",$O$14,IF(F23="D",$R$14,IF(F23="E",$U$14,0)))))</f>
        <v>0</v>
      </c>
      <c r="AK24" s="51">
        <f>IF(F23="A",$I$15,IF(F23="B",$L$15,IF(F23="C",$O$15,IF(F23="D",$R$15,IF(F23="E",$U$15,0)))))</f>
        <v>0</v>
      </c>
      <c r="AL24" s="51">
        <f>IF(F23="A",$I$16,IF(F23="B",$L$16,IF(F23="C",$O$16,IF(F23="D",$R$16,IF(F23="E",$U$16,0)))))</f>
        <v>0</v>
      </c>
      <c r="AM24" s="51">
        <f>IF(G23="A",$I$14,IF(G23="B",$L$14,IF(G23="C",$O$14,IF(G23="D",$R$14,IF(G23="E",$U$14,0)))))</f>
        <v>0</v>
      </c>
      <c r="AN24" s="51">
        <f>IF(G23="A",$I$15,IF(G23="B",$L$15,IF(G23="C",$O$15,IF(G23="D",$R$15,IF(G23="E",$U$15,0)))))</f>
        <v>0</v>
      </c>
      <c r="AO24" s="51">
        <f>IF(G23="A",$I$16,IF(G23="B",$L$16,IF(G23="C",$O$16,IF(G23="D",$R$16,IF(G23="E",$U$16,0)))))</f>
        <v>0</v>
      </c>
      <c r="AP24" s="51">
        <f>IF(H23="A",$I$14,IF(H23="B",$L$14,IF(H23="C",$O$14,IF(H23="D",$R$14,IF(H23="E",$U$14,0)))))</f>
        <v>6.5</v>
      </c>
      <c r="AQ24" s="51">
        <f>IF(H23="A",$I$15,IF(H23="B",$L$15,IF(H23="C",$O$15,IF(H23="D",$R$15,IF(H23="E",$U$15,0)))))</f>
        <v>3</v>
      </c>
      <c r="AR24" s="51">
        <f>IF(H23="A",$I$16,IF(H23="B",$L$16,IF(H23="C",$O$16,IF(H23="D",$R$16,IF(H23="E",$U$16,0)))))</f>
        <v>0</v>
      </c>
      <c r="AS24" s="51">
        <f>IF(I23="A",$I$14,IF(I23="B",$L$14,IF(I23="C",$O$14,IF(I23="D",$R$14,IF(I23="E",$U$14,0)))))</f>
        <v>0</v>
      </c>
      <c r="AT24" s="51">
        <f>IF(I23="A",$I$15,IF(I23="B",$L$15,IF(I23="C",$O$15,IF(I23="D",$R$15,IF(I23="E",$U$15,0)))))</f>
        <v>0</v>
      </c>
      <c r="AU24" s="51">
        <f>IF(I23="A",$I$16,IF(I23="B",$L$16,IF(I23="C",$O$16,IF(I23="D",$R$16,IF(I23="E",$U$16,0)))))</f>
        <v>0</v>
      </c>
      <c r="AV24" s="51">
        <f>IF(J23="A",$I$14,IF(J23="B",$L$14,IF(J23="C",$O$14,IF(J23="D",$R$14,IF(J23="E",$U$14,0)))))</f>
        <v>0</v>
      </c>
      <c r="AW24" s="51">
        <f>IF(J23="A",$I$15,IF(J23="B",$L$15,IF(J23="C",$O$15,IF(J23="D",$R$15,IF(J23="E",$U$15,0)))))</f>
        <v>2</v>
      </c>
      <c r="AX24" s="51">
        <f>IF(J23="A",$I$16,IF(J23="B",$L$16,IF(J23="C",$O$16,IF(J23="D",$R$16,IF(J23="E",$U$16,0)))))</f>
        <v>0</v>
      </c>
      <c r="AY24" s="51">
        <f>IF(K23="A",$I$14,IF(K23="B",$L$14,IF(K23="C",$O$14,IF(K23="D",$R$14,IF(K23="E",$U$14,0)))))</f>
        <v>2.5</v>
      </c>
      <c r="AZ24" s="51">
        <f>IF(K23="A",$I$15,IF(K23="B",$L$15,IF(K23="C",$O$15,IF(K23="D",$R$15,IF(K23="E",$U$15,0)))))</f>
        <v>1.5</v>
      </c>
      <c r="BA24" s="51">
        <f>IF(K23="A",$I$16,IF(K23="B",$L$16,IF(K23="C",$O$16,IF(K23="D",$R$16,IF(K23="E",$U$16,0)))))</f>
        <v>0</v>
      </c>
      <c r="BB24" s="51">
        <f>IF(L23="A",$I$14,IF(L23="B",$L$14,IF(L23="C",$O$14,IF(L23="D",$R$14,IF(L23="E",$U$14,0)))))</f>
        <v>0</v>
      </c>
      <c r="BC24" s="51">
        <f>IF(L23="A",$I$15,IF(L23="B",$L$15,IF(L23="C",$O$15,IF(L23="D",$R$15,IF(L23="E",$U$15,0)))))</f>
        <v>2</v>
      </c>
      <c r="BD24" s="51">
        <f>IF(L23="A",$I$16,IF(L23="B",$L$16,IF(L23="C",$O$16,IF(L23="D",$R$16,IF(L23="E",$U$16,0)))))</f>
        <v>0</v>
      </c>
      <c r="BE24" s="51">
        <f>IF(M23="A",$I$14,IF(M23="B",$L$14,IF(M23="C",$O$14,IF(M23="D",$R$14,IF(M23="E",$U$14,0)))))</f>
        <v>6.5</v>
      </c>
      <c r="BF24" s="51">
        <f>IF(M23="A",$I$15,IF(M23="B",$L$15,IF(M23="C",$O$15,IF(M23="D",$R$15,IF(M23="E",$U$15,0)))))</f>
        <v>3</v>
      </c>
      <c r="BG24" s="51">
        <f>IF(M23="A",$I$16,IF(M23="B",$L$16,IF(M23="C",$O$16,IF(M23="D",$R$16,IF(M23="E",$U$16,0)))))</f>
        <v>0</v>
      </c>
      <c r="BH24" s="51">
        <f>IF(N23="A",$I$14,IF(N23="B",$L$14,IF(N23="C",$O$14,IF(N23="D",$R$14,IF(N23="E",$U$14,0)))))</f>
        <v>6.5</v>
      </c>
      <c r="BI24" s="51">
        <f>IF(N23="A",$I$15,IF(N23="B",$L$15,IF(N23="C",$O$15,IF(N23="D",$R$15,IF(N23="E",$U$15,0)))))</f>
        <v>3</v>
      </c>
      <c r="BJ24" s="51">
        <f>IF(N23="A",$I$16,IF(N23="B",$L$16,IF(N23="C",$O$16,IF(N23="D",$R$16,IF(N23="E",$U$16,0)))))</f>
        <v>0</v>
      </c>
      <c r="BK24" s="51">
        <f>IF(O23="A",$I$14,IF(O23="B",$L$14,IF(O23="C",$O$14,IF(O23="D",$R$14,IF(O23="E",$U$14,0)))))</f>
        <v>0</v>
      </c>
      <c r="BL24" s="51">
        <f>IF(O23="A",$I$15,IF(O23="B",$L$15,IF(O23="C",$O$15,IF(O23="D",$R$15,IF(O23="E",$U$15,0)))))</f>
        <v>2</v>
      </c>
      <c r="BM24" s="51">
        <f>IF(O23="A",$I$16,IF(O23="B",$L$16,IF(O23="C",$O$16,IF(O23="D",$R$16,IF(O23="E",$U$16,0)))))</f>
        <v>0</v>
      </c>
      <c r="BN24" s="51">
        <f>IF(P23="A",$I$14,IF(P23="B",$L$14,IF(P23="C",$O$14,IF(P23="D",$R$14,IF(P23="E",$U$14,0)))))</f>
        <v>2.5</v>
      </c>
      <c r="BO24" s="51">
        <f>IF(P23="A",$I$15,IF(P23="B",$L$15,IF(P23="C",$O$15,IF(P23="D",$R$15,IF(P23="E",$U$15,0)))))</f>
        <v>1.5</v>
      </c>
      <c r="BP24" s="51">
        <f>IF(P23="A",$I$16,IF(P23="B",$L$16,IF(P23="C",$O$16,IF(P23="D",$R$16,IF(P23="E",$U$16,0)))))</f>
        <v>0</v>
      </c>
      <c r="BQ24" s="51">
        <f>IF(Q23="A",$I$14,IF(Q23="B",$L$14,IF(Q23="C",$O$14,IF(Q23="D",$R$14,IF(Q23="E",$U$14,0)))))</f>
        <v>0</v>
      </c>
      <c r="BR24" s="51">
        <f>IF(Q23="A",$I$15,IF(Q23="B",$L$15,IF(Q23="C",$O$15,IF(Q23="D",$R$15,IF(Q23="E",$U$15,0)))))</f>
        <v>0</v>
      </c>
      <c r="BS24" s="51">
        <f>IF(Q23="A",$I$16,IF(Q23="B",$L$16,IF(Q23="C",$O$16,IF(Q23="D",$R$16,IF(Q23="E",$U$16,0)))))</f>
        <v>0</v>
      </c>
      <c r="BT24" s="51">
        <f>IF(R23="A",$I$14,IF(R23="B",$L$14,IF(R23="C",$O$14,IF(R23="D",$R$14,IF(R23="E",$U$14,0)))))</f>
        <v>2.5</v>
      </c>
      <c r="BU24" s="51">
        <f>IF(R23="A",$I$15,IF(R23="B",$L$15,IF(R23="C",$O$15,IF(R23="D",$R$15,IF(R23="E",$U$15,0)))))</f>
        <v>1.5</v>
      </c>
      <c r="BV24" s="51">
        <f>IF(R23="A",$I$16,IF(R23="B",$L$16,IF(R23="C",$O$16,IF(R23="D",$R$16,IF(R23="E",$U$16,0)))))</f>
        <v>0</v>
      </c>
    </row>
    <row r="25" spans="3:74" ht="15.75" thickBot="1" x14ac:dyDescent="0.3">
      <c r="C25" s="91" t="s">
        <v>94</v>
      </c>
      <c r="D25" s="116" t="s">
        <v>87</v>
      </c>
      <c r="E25" s="112" t="s">
        <v>88</v>
      </c>
      <c r="F25" s="111" t="s">
        <v>89</v>
      </c>
      <c r="G25" s="112" t="s">
        <v>90</v>
      </c>
      <c r="H25" s="111" t="s">
        <v>86</v>
      </c>
      <c r="I25" s="112" t="s">
        <v>87</v>
      </c>
      <c r="J25" s="111" t="s">
        <v>88</v>
      </c>
      <c r="K25" s="112" t="s">
        <v>86</v>
      </c>
      <c r="L25" s="111" t="s">
        <v>88</v>
      </c>
      <c r="M25" s="112" t="s">
        <v>87</v>
      </c>
      <c r="N25" s="111" t="s">
        <v>86</v>
      </c>
      <c r="O25" s="112" t="s">
        <v>88</v>
      </c>
      <c r="P25" s="111" t="s">
        <v>87</v>
      </c>
      <c r="Q25" s="112" t="s">
        <v>86</v>
      </c>
      <c r="R25" s="111"/>
      <c r="S25" s="112"/>
      <c r="T25" s="111"/>
      <c r="U25" s="112"/>
      <c r="V25" s="111"/>
      <c r="W25" s="112"/>
      <c r="X25" s="111"/>
      <c r="Y25" s="112"/>
      <c r="Z25" s="111"/>
      <c r="AB25" s="66"/>
      <c r="AC25" s="95" t="s">
        <v>277</v>
      </c>
      <c r="AD25" s="51">
        <f t="shared" ref="AD25:AD29" si="1">IF(D24="A",$I$14,IF(D24="B",$L$14,IF(D24="C",$O$14,IF(D24="D",$R$14,IF(D24="E",$U$14,0)))))</f>
        <v>0</v>
      </c>
      <c r="AE25" s="51">
        <f t="shared" ref="AE25:AE29" si="2">IF(D24="A",$I$15,IF(D24="B",$L$15,IF(D24="C",$O$15,IF(D24="D",$R$15,IF(D24="E",$U$15,0)))))</f>
        <v>0</v>
      </c>
      <c r="AF25" s="51">
        <f t="shared" ref="AF25:AF29" si="3">IF(D24="A",$I$16,IF(D24="B",$L$16,IF(D24="C",$O$16,IF(D24="D",$R$16,IF(D24="E",$U$16,0)))))</f>
        <v>0</v>
      </c>
      <c r="AG25" s="51">
        <f t="shared" ref="AG25:AG29" si="4">IF(E24="A",$I$14,IF(E24="B",$L$14,IF(E24="C",$O$14,IF(E24="D",$R$14,IF(E24="E",$U$14,0)))))</f>
        <v>0</v>
      </c>
      <c r="AH25" s="51">
        <f t="shared" ref="AH25:AH29" si="5">IF(E24="A",$I$15,IF(E24="B",$L$15,IF(E24="C",$O$15,IF(E24="D",$R$15,IF(E24="E",$U$15,0)))))</f>
        <v>0</v>
      </c>
      <c r="AI25" s="51">
        <f t="shared" ref="AI25:AI29" si="6">IF(E24="A",$I$16,IF(E24="B",$L$16,IF(E24="C",$O$16,IF(E24="D",$R$16,IF(E24="E",$U$16,0)))))</f>
        <v>0</v>
      </c>
      <c r="AJ25" s="51">
        <f t="shared" ref="AJ25:AJ29" si="7">IF(F24="A",$I$14,IF(F24="B",$L$14,IF(F24="C",$O$14,IF(F24="D",$R$14,IF(F24="E",$U$14,0)))))</f>
        <v>0</v>
      </c>
      <c r="AK25" s="51">
        <f t="shared" ref="AK25:AK28" si="8">IF(F24="A",$I$15,IF(F24="B",$L$15,IF(F24="C",$O$15,IF(F24="D",$R$15,IF(F24="E",$U$15,0)))))</f>
        <v>0</v>
      </c>
      <c r="AL25" s="51">
        <f t="shared" ref="AL25:AL29" si="9">IF(F24="A",$I$16,IF(F24="B",$L$16,IF(F24="C",$O$16,IF(F24="D",$R$16,IF(F24="E",$U$16,0)))))</f>
        <v>0</v>
      </c>
      <c r="AM25" s="51">
        <f t="shared" ref="AM25:AM29" si="10">IF(G24="A",$I$14,IF(G24="B",$L$14,IF(G24="C",$O$14,IF(G24="D",$R$14,IF(G24="E",$U$14,0)))))</f>
        <v>0</v>
      </c>
      <c r="AN25" s="51">
        <f t="shared" ref="AN25:AN29" si="11">IF(G24="A",$I$15,IF(G24="B",$L$15,IF(G24="C",$O$15,IF(G24="D",$R$15,IF(G24="E",$U$15,0)))))</f>
        <v>0</v>
      </c>
      <c r="AO25" s="51">
        <f t="shared" ref="AO25:AO29" si="12">IF(G24="A",$I$16,IF(G24="B",$L$16,IF(G24="C",$O$16,IF(G24="D",$R$16,IF(G24="E",$U$16,0)))))</f>
        <v>0</v>
      </c>
      <c r="AP25" s="51">
        <f t="shared" ref="AP25:AP29" si="13">IF(H24="A",$I$14,IF(H24="B",$L$14,IF(H24="C",$O$14,IF(H24="D",$R$14,IF(H24="E",$U$14,0)))))</f>
        <v>6.5</v>
      </c>
      <c r="AQ25" s="51">
        <f t="shared" ref="AQ25:AQ29" si="14">IF(H24="A",$I$15,IF(H24="B",$L$15,IF(H24="C",$O$15,IF(H24="D",$R$15,IF(H24="E",$U$15,0)))))</f>
        <v>3</v>
      </c>
      <c r="AR25" s="51">
        <f t="shared" ref="AR25:AR29" si="15">IF(H24="A",$I$16,IF(H24="B",$L$16,IF(H24="C",$O$16,IF(H24="D",$R$16,IF(H24="E",$U$16,0)))))</f>
        <v>0</v>
      </c>
      <c r="AS25" s="51">
        <f t="shared" ref="AS25:AS29" si="16">IF(I24="A",$I$14,IF(I24="B",$L$14,IF(I24="C",$O$14,IF(I24="D",$R$14,IF(I24="E",$U$14,0)))))</f>
        <v>0</v>
      </c>
      <c r="AT25" s="51">
        <f t="shared" ref="AT25:AT29" si="17">IF(I24="A",$I$15,IF(I24="B",$L$15,IF(I24="C",$O$15,IF(I24="D",$R$15,IF(I24="E",$U$15,0)))))</f>
        <v>0</v>
      </c>
      <c r="AU25" s="51">
        <f t="shared" ref="AU25:AU29" si="18">IF(I24="A",$I$16,IF(I24="B",$L$16,IF(I24="C",$O$16,IF(I24="D",$R$16,IF(I24="E",$U$16,0)))))</f>
        <v>0</v>
      </c>
      <c r="AV25" s="51">
        <f t="shared" ref="AV25:AV29" si="19">IF(J24="A",$I$14,IF(J24="B",$L$14,IF(J24="C",$O$14,IF(J24="D",$R$14,IF(J24="E",$U$14,0)))))</f>
        <v>0</v>
      </c>
      <c r="AW25" s="51">
        <f t="shared" ref="AW25:AW29" si="20">IF(J24="A",$I$15,IF(J24="B",$L$15,IF(J24="C",$O$15,IF(J24="D",$R$15,IF(J24="E",$U$15,0)))))</f>
        <v>2</v>
      </c>
      <c r="AX25" s="51">
        <f t="shared" ref="AX25:AX29" si="21">IF(J24="A",$I$16,IF(J24="B",$L$16,IF(J24="C",$O$16,IF(J24="D",$R$16,IF(J24="E",$U$16,0)))))</f>
        <v>0</v>
      </c>
      <c r="AY25" s="51">
        <f t="shared" ref="AY25:AY29" si="22">IF(K24="A",$I$14,IF(K24="B",$L$14,IF(K24="C",$O$14,IF(K24="D",$R$14,IF(K24="E",$U$14,0)))))</f>
        <v>2.5</v>
      </c>
      <c r="AZ25" s="51">
        <f t="shared" ref="AZ25:AZ29" si="23">IF(K24="A",$I$15,IF(K24="B",$L$15,IF(K24="C",$O$15,IF(K24="D",$R$15,IF(K24="E",$U$15,0)))))</f>
        <v>1.5</v>
      </c>
      <c r="BA25" s="51">
        <f t="shared" ref="BA25:BA29" si="24">IF(K24="A",$I$16,IF(K24="B",$L$16,IF(K24="C",$O$16,IF(K24="D",$R$16,IF(K24="E",$U$16,0)))))</f>
        <v>0</v>
      </c>
      <c r="BB25" s="51">
        <f t="shared" ref="BB25:BB29" si="25">IF(L24="A",$I$14,IF(L24="B",$L$14,IF(L24="C",$O$14,IF(L24="D",$R$14,IF(L24="E",$U$14,0)))))</f>
        <v>0</v>
      </c>
      <c r="BC25" s="51">
        <f t="shared" ref="BC25:BC29" si="26">IF(L24="A",$I$15,IF(L24="B",$L$15,IF(L24="C",$O$15,IF(L24="D",$R$15,IF(L24="E",$U$15,0)))))</f>
        <v>2</v>
      </c>
      <c r="BD25" s="51">
        <f t="shared" ref="BD25:BD29" si="27">IF(L24="A",$I$16,IF(L24="B",$L$16,IF(L24="C",$O$16,IF(L24="D",$R$16,IF(L24="E",$U$16,0)))))</f>
        <v>0</v>
      </c>
      <c r="BE25" s="51">
        <f t="shared" ref="BE25:BE29" si="28">IF(M24="A",$I$14,IF(M24="B",$L$14,IF(M24="C",$O$14,IF(M24="D",$R$14,IF(M24="E",$U$14,0)))))</f>
        <v>6.5</v>
      </c>
      <c r="BF25" s="51">
        <f t="shared" ref="BF25:BF29" si="29">IF(M24="A",$I$15,IF(M24="B",$L$15,IF(M24="C",$O$15,IF(M24="D",$R$15,IF(M24="E",$U$15,0)))))</f>
        <v>3</v>
      </c>
      <c r="BG25" s="51">
        <f t="shared" ref="BG25:BG29" si="30">IF(M24="A",$I$16,IF(M24="B",$L$16,IF(M24="C",$O$16,IF(M24="D",$R$16,IF(M24="E",$U$16,0)))))</f>
        <v>0</v>
      </c>
      <c r="BH25" s="51">
        <f t="shared" ref="BH25:BH29" si="31">IF(N24="A",$I$14,IF(N24="B",$L$14,IF(N24="C",$O$14,IF(N24="D",$R$14,IF(N24="E",$U$14,0)))))</f>
        <v>6.5</v>
      </c>
      <c r="BI25" s="51">
        <f t="shared" ref="BI25:BI29" si="32">IF(N24="A",$I$15,IF(N24="B",$L$15,IF(N24="C",$O$15,IF(N24="D",$R$15,IF(N24="E",$U$15,0)))))</f>
        <v>3</v>
      </c>
      <c r="BJ25" s="51">
        <f t="shared" ref="BJ25:BJ29" si="33">IF(N24="A",$I$16,IF(N24="B",$L$16,IF(N24="C",$O$16,IF(N24="D",$R$16,IF(N24="E",$U$16,0)))))</f>
        <v>0</v>
      </c>
      <c r="BK25" s="51">
        <f t="shared" ref="BK25:BK29" si="34">IF(O24="A",$I$14,IF(O24="B",$L$14,IF(O24="C",$O$14,IF(O24="D",$R$14,IF(O24="E",$U$14,0)))))</f>
        <v>0</v>
      </c>
      <c r="BL25" s="51">
        <f t="shared" ref="BL25:BL29" si="35">IF(O24="A",$I$15,IF(O24="B",$L$15,IF(O24="C",$O$15,IF(O24="D",$R$15,IF(O24="E",$U$15,0)))))</f>
        <v>2</v>
      </c>
      <c r="BM25" s="51">
        <f t="shared" ref="BM25:BM29" si="36">IF(O24="A",$I$16,IF(O24="B",$L$16,IF(O24="C",$O$16,IF(O24="D",$R$16,IF(O24="E",$U$16,0)))))</f>
        <v>0</v>
      </c>
      <c r="BN25" s="51">
        <f t="shared" ref="BN25:BN28" si="37">IF(P24="A",$I$14,IF(P24="B",$L$14,IF(P24="C",$O$14,IF(P24="D",$R$14,IF(P24="E",$U$14,0)))))</f>
        <v>2.5</v>
      </c>
      <c r="BO25" s="51">
        <f t="shared" ref="BO25:BO29" si="38">IF(P24="A",$I$15,IF(P24="B",$L$15,IF(P24="C",$O$15,IF(P24="D",$R$15,IF(P24="E",$U$15,0)))))</f>
        <v>1.5</v>
      </c>
      <c r="BP25" s="51">
        <f t="shared" ref="BP25:BP29" si="39">IF(P24="A",$I$16,IF(P24="B",$L$16,IF(P24="C",$O$16,IF(P24="D",$R$16,IF(P24="E",$U$16,0)))))</f>
        <v>0</v>
      </c>
      <c r="BQ25" s="51">
        <f t="shared" ref="BQ25:BQ29" si="40">IF(Q24="A",$I$14,IF(Q24="B",$L$14,IF(Q24="C",$O$14,IF(Q24="D",$R$14,IF(Q24="E",$U$14,0)))))</f>
        <v>0</v>
      </c>
      <c r="BR25" s="51">
        <f t="shared" ref="BR25:BR29" si="41">IF(Q24="A",$I$15,IF(Q24="B",$L$15,IF(Q24="C",$O$15,IF(Q24="D",$R$15,IF(Q24="E",$U$15,0)))))</f>
        <v>0</v>
      </c>
      <c r="BS25" s="51">
        <f t="shared" ref="BS25:BS29" si="42">IF(Q24="A",$I$16,IF(Q24="B",$L$16,IF(Q24="C",$O$16,IF(Q24="D",$R$16,IF(Q24="E",$U$16,0)))))</f>
        <v>0</v>
      </c>
      <c r="BT25" s="51">
        <f t="shared" ref="BT25:BT29" si="43">IF(R24="A",$I$14,IF(R24="B",$L$14,IF(R24="C",$O$14,IF(R24="D",$R$14,IF(R24="E",$U$14,0)))))</f>
        <v>2.5</v>
      </c>
      <c r="BU25" s="51">
        <f t="shared" ref="BU25:BU29" si="44">IF(R24="A",$I$15,IF(R24="B",$L$15,IF(R24="C",$O$15,IF(R24="D",$R$15,IF(R24="E",$U$15,0)))))</f>
        <v>1.5</v>
      </c>
      <c r="BV25" s="51">
        <f t="shared" ref="BV25:BV29" si="45">IF(R24="A",$I$16,IF(R24="B",$L$16,IF(R24="C",$O$16,IF(R24="D",$R$16,IF(R24="E",$U$16,0)))))</f>
        <v>0</v>
      </c>
    </row>
    <row r="26" spans="3:74" ht="15.75" thickBot="1" x14ac:dyDescent="0.3">
      <c r="C26" s="91" t="s">
        <v>95</v>
      </c>
      <c r="D26" s="116" t="s">
        <v>87</v>
      </c>
      <c r="E26" s="112" t="s">
        <v>88</v>
      </c>
      <c r="F26" s="111" t="s">
        <v>89</v>
      </c>
      <c r="G26" s="112" t="s">
        <v>90</v>
      </c>
      <c r="H26" s="111" t="s">
        <v>86</v>
      </c>
      <c r="I26" s="112" t="s">
        <v>87</v>
      </c>
      <c r="J26" s="111" t="s">
        <v>88</v>
      </c>
      <c r="K26" s="112" t="s">
        <v>86</v>
      </c>
      <c r="L26" s="111" t="s">
        <v>88</v>
      </c>
      <c r="M26" s="112" t="s">
        <v>87</v>
      </c>
      <c r="N26" s="111" t="s">
        <v>86</v>
      </c>
      <c r="O26" s="112" t="s">
        <v>88</v>
      </c>
      <c r="P26" s="111" t="s">
        <v>87</v>
      </c>
      <c r="Q26" s="112" t="s">
        <v>86</v>
      </c>
      <c r="R26" s="111"/>
      <c r="S26" s="112"/>
      <c r="T26" s="111"/>
      <c r="U26" s="112"/>
      <c r="V26" s="111"/>
      <c r="W26" s="112"/>
      <c r="X26" s="111"/>
      <c r="Y26" s="112"/>
      <c r="Z26" s="111"/>
      <c r="AB26" s="66"/>
      <c r="AC26" s="95" t="s">
        <v>94</v>
      </c>
      <c r="AD26" s="51">
        <f t="shared" si="1"/>
        <v>2.5</v>
      </c>
      <c r="AE26" s="51">
        <f t="shared" si="2"/>
        <v>1.5</v>
      </c>
      <c r="AF26" s="51">
        <f t="shared" si="3"/>
        <v>0</v>
      </c>
      <c r="AG26" s="51">
        <f t="shared" si="4"/>
        <v>0</v>
      </c>
      <c r="AH26" s="51">
        <f t="shared" si="5"/>
        <v>2</v>
      </c>
      <c r="AI26" s="51">
        <f t="shared" si="6"/>
        <v>0</v>
      </c>
      <c r="AJ26" s="51">
        <f t="shared" si="7"/>
        <v>5</v>
      </c>
      <c r="AK26" s="51">
        <f t="shared" si="8"/>
        <v>3</v>
      </c>
      <c r="AL26" s="51">
        <f t="shared" si="9"/>
        <v>0</v>
      </c>
      <c r="AM26" s="51">
        <f t="shared" si="10"/>
        <v>1.5</v>
      </c>
      <c r="AN26" s="51">
        <f t="shared" si="11"/>
        <v>1.5</v>
      </c>
      <c r="AO26" s="51">
        <f t="shared" si="12"/>
        <v>0</v>
      </c>
      <c r="AP26" s="51">
        <f t="shared" si="13"/>
        <v>6.5</v>
      </c>
      <c r="AQ26" s="51">
        <f t="shared" si="14"/>
        <v>3</v>
      </c>
      <c r="AR26" s="51">
        <f t="shared" si="15"/>
        <v>0</v>
      </c>
      <c r="AS26" s="51">
        <f t="shared" si="16"/>
        <v>2.5</v>
      </c>
      <c r="AT26" s="51">
        <f t="shared" si="17"/>
        <v>1.5</v>
      </c>
      <c r="AU26" s="51">
        <f t="shared" si="18"/>
        <v>0</v>
      </c>
      <c r="AV26" s="51">
        <f t="shared" si="19"/>
        <v>0</v>
      </c>
      <c r="AW26" s="51">
        <f t="shared" si="20"/>
        <v>2</v>
      </c>
      <c r="AX26" s="51">
        <f t="shared" si="21"/>
        <v>0</v>
      </c>
      <c r="AY26" s="51">
        <f t="shared" si="22"/>
        <v>6.5</v>
      </c>
      <c r="AZ26" s="51">
        <f t="shared" si="23"/>
        <v>3</v>
      </c>
      <c r="BA26" s="51">
        <f t="shared" si="24"/>
        <v>0</v>
      </c>
      <c r="BB26" s="51">
        <f t="shared" si="25"/>
        <v>0</v>
      </c>
      <c r="BC26" s="51">
        <f t="shared" si="26"/>
        <v>2</v>
      </c>
      <c r="BD26" s="51">
        <f t="shared" si="27"/>
        <v>0</v>
      </c>
      <c r="BE26" s="51">
        <f t="shared" si="28"/>
        <v>2.5</v>
      </c>
      <c r="BF26" s="51">
        <f t="shared" si="29"/>
        <v>1.5</v>
      </c>
      <c r="BG26" s="51">
        <f t="shared" si="30"/>
        <v>0</v>
      </c>
      <c r="BH26" s="51">
        <f t="shared" si="31"/>
        <v>6.5</v>
      </c>
      <c r="BI26" s="51">
        <f t="shared" si="32"/>
        <v>3</v>
      </c>
      <c r="BJ26" s="51">
        <f t="shared" si="33"/>
        <v>0</v>
      </c>
      <c r="BK26" s="51">
        <f t="shared" si="34"/>
        <v>0</v>
      </c>
      <c r="BL26" s="51">
        <f t="shared" si="35"/>
        <v>2</v>
      </c>
      <c r="BM26" s="51">
        <f t="shared" si="36"/>
        <v>0</v>
      </c>
      <c r="BN26" s="51">
        <f t="shared" si="37"/>
        <v>2.5</v>
      </c>
      <c r="BO26" s="51">
        <f t="shared" si="38"/>
        <v>1.5</v>
      </c>
      <c r="BP26" s="51">
        <f t="shared" si="39"/>
        <v>0</v>
      </c>
      <c r="BQ26" s="51">
        <f t="shared" si="40"/>
        <v>6.5</v>
      </c>
      <c r="BR26" s="51">
        <f t="shared" si="41"/>
        <v>3</v>
      </c>
      <c r="BS26" s="51">
        <f t="shared" si="42"/>
        <v>0</v>
      </c>
      <c r="BT26" s="51">
        <f t="shared" si="43"/>
        <v>0</v>
      </c>
      <c r="BU26" s="51">
        <f t="shared" si="44"/>
        <v>0</v>
      </c>
      <c r="BV26" s="51">
        <f t="shared" si="45"/>
        <v>0</v>
      </c>
    </row>
    <row r="27" spans="3:74" ht="15.75" thickBot="1" x14ac:dyDescent="0.3">
      <c r="C27" s="91" t="s">
        <v>96</v>
      </c>
      <c r="D27" s="116" t="s">
        <v>87</v>
      </c>
      <c r="E27" s="112" t="s">
        <v>88</v>
      </c>
      <c r="F27" s="111" t="s">
        <v>89</v>
      </c>
      <c r="G27" s="112" t="s">
        <v>90</v>
      </c>
      <c r="H27" s="111" t="s">
        <v>87</v>
      </c>
      <c r="I27" s="112" t="s">
        <v>86</v>
      </c>
      <c r="J27" s="111" t="s">
        <v>88</v>
      </c>
      <c r="K27" s="112" t="s">
        <v>86</v>
      </c>
      <c r="L27" s="111" t="s">
        <v>88</v>
      </c>
      <c r="M27" s="112" t="s">
        <v>87</v>
      </c>
      <c r="N27" s="111" t="s">
        <v>86</v>
      </c>
      <c r="O27" s="112" t="s">
        <v>88</v>
      </c>
      <c r="P27" s="111" t="s">
        <v>87</v>
      </c>
      <c r="Q27" s="112" t="s">
        <v>86</v>
      </c>
      <c r="R27" s="111"/>
      <c r="S27" s="112"/>
      <c r="T27" s="111"/>
      <c r="U27" s="112"/>
      <c r="V27" s="111"/>
      <c r="W27" s="112"/>
      <c r="X27" s="111"/>
      <c r="Y27" s="112"/>
      <c r="Z27" s="111"/>
      <c r="AB27" s="66"/>
      <c r="AC27" s="95" t="s">
        <v>95</v>
      </c>
      <c r="AD27" s="51">
        <f t="shared" si="1"/>
        <v>2.5</v>
      </c>
      <c r="AE27" s="51">
        <f t="shared" si="2"/>
        <v>1.5</v>
      </c>
      <c r="AF27" s="51">
        <f t="shared" si="3"/>
        <v>0</v>
      </c>
      <c r="AG27" s="51">
        <f t="shared" si="4"/>
        <v>0</v>
      </c>
      <c r="AH27" s="51">
        <f t="shared" si="5"/>
        <v>2</v>
      </c>
      <c r="AI27" s="51">
        <f t="shared" si="6"/>
        <v>0</v>
      </c>
      <c r="AJ27" s="51">
        <f t="shared" si="7"/>
        <v>5</v>
      </c>
      <c r="AK27" s="51">
        <f t="shared" si="8"/>
        <v>3</v>
      </c>
      <c r="AL27" s="51">
        <f t="shared" si="9"/>
        <v>0</v>
      </c>
      <c r="AM27" s="51">
        <f t="shared" si="10"/>
        <v>1.5</v>
      </c>
      <c r="AN27" s="51">
        <f t="shared" si="11"/>
        <v>1.5</v>
      </c>
      <c r="AO27" s="51">
        <f t="shared" si="12"/>
        <v>0</v>
      </c>
      <c r="AP27" s="51">
        <f t="shared" si="13"/>
        <v>6.5</v>
      </c>
      <c r="AQ27" s="51">
        <f t="shared" si="14"/>
        <v>3</v>
      </c>
      <c r="AR27" s="51">
        <f t="shared" si="15"/>
        <v>0</v>
      </c>
      <c r="AS27" s="51">
        <f t="shared" si="16"/>
        <v>2.5</v>
      </c>
      <c r="AT27" s="51">
        <f t="shared" si="17"/>
        <v>1.5</v>
      </c>
      <c r="AU27" s="51">
        <f t="shared" si="18"/>
        <v>0</v>
      </c>
      <c r="AV27" s="51">
        <f t="shared" si="19"/>
        <v>0</v>
      </c>
      <c r="AW27" s="51">
        <f t="shared" si="20"/>
        <v>2</v>
      </c>
      <c r="AX27" s="51">
        <f t="shared" si="21"/>
        <v>0</v>
      </c>
      <c r="AY27" s="51">
        <f t="shared" si="22"/>
        <v>6.5</v>
      </c>
      <c r="AZ27" s="51">
        <f t="shared" si="23"/>
        <v>3</v>
      </c>
      <c r="BA27" s="51">
        <f t="shared" si="24"/>
        <v>0</v>
      </c>
      <c r="BB27" s="51">
        <f t="shared" si="25"/>
        <v>0</v>
      </c>
      <c r="BC27" s="51">
        <f t="shared" si="26"/>
        <v>2</v>
      </c>
      <c r="BD27" s="51">
        <f t="shared" si="27"/>
        <v>0</v>
      </c>
      <c r="BE27" s="51">
        <f t="shared" si="28"/>
        <v>2.5</v>
      </c>
      <c r="BF27" s="51">
        <f t="shared" si="29"/>
        <v>1.5</v>
      </c>
      <c r="BG27" s="51">
        <f t="shared" si="30"/>
        <v>0</v>
      </c>
      <c r="BH27" s="51">
        <f t="shared" si="31"/>
        <v>6.5</v>
      </c>
      <c r="BI27" s="51">
        <f t="shared" si="32"/>
        <v>3</v>
      </c>
      <c r="BJ27" s="51">
        <f t="shared" si="33"/>
        <v>0</v>
      </c>
      <c r="BK27" s="51">
        <f t="shared" si="34"/>
        <v>0</v>
      </c>
      <c r="BL27" s="51">
        <f t="shared" si="35"/>
        <v>2</v>
      </c>
      <c r="BM27" s="51">
        <f t="shared" si="36"/>
        <v>0</v>
      </c>
      <c r="BN27" s="51">
        <f t="shared" si="37"/>
        <v>2.5</v>
      </c>
      <c r="BO27" s="51">
        <f t="shared" si="38"/>
        <v>1.5</v>
      </c>
      <c r="BP27" s="51">
        <f t="shared" si="39"/>
        <v>0</v>
      </c>
      <c r="BQ27" s="51">
        <f t="shared" si="40"/>
        <v>6.5</v>
      </c>
      <c r="BR27" s="51">
        <f t="shared" si="41"/>
        <v>3</v>
      </c>
      <c r="BS27" s="51">
        <f t="shared" si="42"/>
        <v>0</v>
      </c>
      <c r="BT27" s="51">
        <f t="shared" si="43"/>
        <v>0</v>
      </c>
      <c r="BU27" s="51">
        <f t="shared" si="44"/>
        <v>0</v>
      </c>
      <c r="BV27" s="51">
        <f t="shared" si="45"/>
        <v>0</v>
      </c>
    </row>
    <row r="28" spans="3:74" ht="15.75" thickBot="1" x14ac:dyDescent="0.3">
      <c r="C28" s="91" t="s">
        <v>97</v>
      </c>
      <c r="D28" s="116"/>
      <c r="E28" s="112"/>
      <c r="F28" s="111"/>
      <c r="G28" s="112"/>
      <c r="H28" s="111"/>
      <c r="I28" s="112"/>
      <c r="J28" s="111"/>
      <c r="K28" s="112"/>
      <c r="L28" s="111"/>
      <c r="M28" s="112"/>
      <c r="N28" s="111"/>
      <c r="O28" s="112"/>
      <c r="P28" s="111"/>
      <c r="Q28" s="112"/>
      <c r="R28" s="111"/>
      <c r="S28" s="112"/>
      <c r="T28" s="111"/>
      <c r="U28" s="112"/>
      <c r="V28" s="111"/>
      <c r="W28" s="112"/>
      <c r="X28" s="111"/>
      <c r="Y28" s="112"/>
      <c r="Z28" s="111"/>
      <c r="AB28" s="66"/>
      <c r="AC28" s="95" t="s">
        <v>96</v>
      </c>
      <c r="AD28" s="51">
        <f t="shared" si="1"/>
        <v>2.5</v>
      </c>
      <c r="AE28" s="51">
        <f t="shared" si="2"/>
        <v>1.5</v>
      </c>
      <c r="AF28" s="51">
        <f t="shared" si="3"/>
        <v>0</v>
      </c>
      <c r="AG28" s="51">
        <f t="shared" si="4"/>
        <v>0</v>
      </c>
      <c r="AH28" s="51">
        <f t="shared" si="5"/>
        <v>2</v>
      </c>
      <c r="AI28" s="51">
        <f t="shared" si="6"/>
        <v>0</v>
      </c>
      <c r="AJ28" s="51">
        <f t="shared" si="7"/>
        <v>5</v>
      </c>
      <c r="AK28" s="51">
        <f t="shared" si="8"/>
        <v>3</v>
      </c>
      <c r="AL28" s="51">
        <f t="shared" si="9"/>
        <v>0</v>
      </c>
      <c r="AM28" s="51">
        <f t="shared" si="10"/>
        <v>1.5</v>
      </c>
      <c r="AN28" s="51">
        <f t="shared" si="11"/>
        <v>1.5</v>
      </c>
      <c r="AO28" s="51">
        <f t="shared" si="12"/>
        <v>0</v>
      </c>
      <c r="AP28" s="51">
        <f t="shared" si="13"/>
        <v>2.5</v>
      </c>
      <c r="AQ28" s="51">
        <f t="shared" si="14"/>
        <v>1.5</v>
      </c>
      <c r="AR28" s="51">
        <f t="shared" si="15"/>
        <v>0</v>
      </c>
      <c r="AS28" s="51">
        <f t="shared" si="16"/>
        <v>6.5</v>
      </c>
      <c r="AT28" s="51">
        <f t="shared" si="17"/>
        <v>3</v>
      </c>
      <c r="AU28" s="51">
        <f t="shared" si="18"/>
        <v>0</v>
      </c>
      <c r="AV28" s="51">
        <f t="shared" si="19"/>
        <v>0</v>
      </c>
      <c r="AW28" s="51">
        <f t="shared" si="20"/>
        <v>2</v>
      </c>
      <c r="AX28" s="51">
        <f t="shared" si="21"/>
        <v>0</v>
      </c>
      <c r="AY28" s="51">
        <f t="shared" si="22"/>
        <v>6.5</v>
      </c>
      <c r="AZ28" s="51">
        <f t="shared" si="23"/>
        <v>3</v>
      </c>
      <c r="BA28" s="51">
        <f t="shared" si="24"/>
        <v>0</v>
      </c>
      <c r="BB28" s="51">
        <f t="shared" si="25"/>
        <v>0</v>
      </c>
      <c r="BC28" s="51">
        <f t="shared" si="26"/>
        <v>2</v>
      </c>
      <c r="BD28" s="51">
        <f t="shared" si="27"/>
        <v>0</v>
      </c>
      <c r="BE28" s="51">
        <f t="shared" si="28"/>
        <v>2.5</v>
      </c>
      <c r="BF28" s="51">
        <f t="shared" si="29"/>
        <v>1.5</v>
      </c>
      <c r="BG28" s="51">
        <f t="shared" si="30"/>
        <v>0</v>
      </c>
      <c r="BH28" s="51">
        <f t="shared" si="31"/>
        <v>6.5</v>
      </c>
      <c r="BI28" s="51">
        <f t="shared" si="32"/>
        <v>3</v>
      </c>
      <c r="BJ28" s="51">
        <f t="shared" si="33"/>
        <v>0</v>
      </c>
      <c r="BK28" s="51">
        <f t="shared" si="34"/>
        <v>0</v>
      </c>
      <c r="BL28" s="51">
        <f t="shared" si="35"/>
        <v>2</v>
      </c>
      <c r="BM28" s="51">
        <f t="shared" si="36"/>
        <v>0</v>
      </c>
      <c r="BN28" s="51">
        <f t="shared" si="37"/>
        <v>2.5</v>
      </c>
      <c r="BO28" s="51">
        <f t="shared" si="38"/>
        <v>1.5</v>
      </c>
      <c r="BP28" s="51">
        <f t="shared" si="39"/>
        <v>0</v>
      </c>
      <c r="BQ28" s="51">
        <f t="shared" si="40"/>
        <v>6.5</v>
      </c>
      <c r="BR28" s="51">
        <f t="shared" si="41"/>
        <v>3</v>
      </c>
      <c r="BS28" s="51">
        <f t="shared" si="42"/>
        <v>0</v>
      </c>
      <c r="BT28" s="51">
        <f t="shared" si="43"/>
        <v>0</v>
      </c>
      <c r="BU28" s="51">
        <f t="shared" si="44"/>
        <v>0</v>
      </c>
      <c r="BV28" s="51">
        <f t="shared" si="45"/>
        <v>0</v>
      </c>
    </row>
    <row r="29" spans="3:74" ht="15.75" thickBot="1" x14ac:dyDescent="0.3">
      <c r="C29" s="91" t="s">
        <v>98</v>
      </c>
      <c r="D29" s="116"/>
      <c r="E29" s="112"/>
      <c r="F29" s="111"/>
      <c r="G29" s="112"/>
      <c r="H29" s="111"/>
      <c r="I29" s="112"/>
      <c r="J29" s="111"/>
      <c r="K29" s="112"/>
      <c r="L29" s="111"/>
      <c r="M29" s="112"/>
      <c r="N29" s="111"/>
      <c r="O29" s="112"/>
      <c r="P29" s="111"/>
      <c r="Q29" s="112"/>
      <c r="R29" s="111"/>
      <c r="S29" s="112"/>
      <c r="T29" s="111"/>
      <c r="U29" s="112"/>
      <c r="V29" s="111"/>
      <c r="W29" s="112"/>
      <c r="X29" s="111"/>
      <c r="Y29" s="112"/>
      <c r="Z29" s="111"/>
      <c r="AB29" s="66"/>
      <c r="AC29" s="95" t="s">
        <v>97</v>
      </c>
      <c r="AD29" s="51">
        <f t="shared" si="1"/>
        <v>0</v>
      </c>
      <c r="AE29" s="51">
        <f t="shared" si="2"/>
        <v>0</v>
      </c>
      <c r="AF29" s="51">
        <f t="shared" si="3"/>
        <v>0</v>
      </c>
      <c r="AG29" s="51">
        <f t="shared" si="4"/>
        <v>0</v>
      </c>
      <c r="AH29" s="51">
        <f t="shared" si="5"/>
        <v>0</v>
      </c>
      <c r="AI29" s="51">
        <f t="shared" si="6"/>
        <v>0</v>
      </c>
      <c r="AJ29" s="51">
        <f t="shared" si="7"/>
        <v>0</v>
      </c>
      <c r="AK29" s="51">
        <f>IF(F28="A",$I$15,IF(F28="B",$L$15,IF(F28="C",$O$15,IF(F28="D",$R$15,IF(F28="E",$U$15,0)))))</f>
        <v>0</v>
      </c>
      <c r="AL29" s="51">
        <f t="shared" si="9"/>
        <v>0</v>
      </c>
      <c r="AM29" s="51">
        <f t="shared" si="10"/>
        <v>0</v>
      </c>
      <c r="AN29" s="51">
        <f t="shared" si="11"/>
        <v>0</v>
      </c>
      <c r="AO29" s="51">
        <f t="shared" si="12"/>
        <v>0</v>
      </c>
      <c r="AP29" s="51">
        <f t="shared" si="13"/>
        <v>0</v>
      </c>
      <c r="AQ29" s="51">
        <f t="shared" si="14"/>
        <v>0</v>
      </c>
      <c r="AR29" s="51">
        <f t="shared" si="15"/>
        <v>0</v>
      </c>
      <c r="AS29" s="51">
        <f t="shared" si="16"/>
        <v>0</v>
      </c>
      <c r="AT29" s="51">
        <f t="shared" si="17"/>
        <v>0</v>
      </c>
      <c r="AU29" s="51">
        <f t="shared" si="18"/>
        <v>0</v>
      </c>
      <c r="AV29" s="51">
        <f t="shared" si="19"/>
        <v>0</v>
      </c>
      <c r="AW29" s="51">
        <f t="shared" si="20"/>
        <v>0</v>
      </c>
      <c r="AX29" s="51">
        <f t="shared" si="21"/>
        <v>0</v>
      </c>
      <c r="AY29" s="51">
        <f t="shared" si="22"/>
        <v>0</v>
      </c>
      <c r="AZ29" s="51">
        <f t="shared" si="23"/>
        <v>0</v>
      </c>
      <c r="BA29" s="51">
        <f t="shared" si="24"/>
        <v>0</v>
      </c>
      <c r="BB29" s="51">
        <f t="shared" si="25"/>
        <v>0</v>
      </c>
      <c r="BC29" s="51">
        <f t="shared" si="26"/>
        <v>0</v>
      </c>
      <c r="BD29" s="51">
        <f t="shared" si="27"/>
        <v>0</v>
      </c>
      <c r="BE29" s="51">
        <f t="shared" si="28"/>
        <v>0</v>
      </c>
      <c r="BF29" s="51">
        <f t="shared" si="29"/>
        <v>0</v>
      </c>
      <c r="BG29" s="51">
        <f t="shared" si="30"/>
        <v>0</v>
      </c>
      <c r="BH29" s="51">
        <f t="shared" si="31"/>
        <v>0</v>
      </c>
      <c r="BI29" s="51">
        <f t="shared" si="32"/>
        <v>0</v>
      </c>
      <c r="BJ29" s="51">
        <f t="shared" si="33"/>
        <v>0</v>
      </c>
      <c r="BK29" s="51">
        <f t="shared" si="34"/>
        <v>0</v>
      </c>
      <c r="BL29" s="51">
        <f t="shared" si="35"/>
        <v>0</v>
      </c>
      <c r="BM29" s="51">
        <f t="shared" si="36"/>
        <v>0</v>
      </c>
      <c r="BN29" s="51">
        <f>IF(P28="A",$I$14,IF(P28="B",$L$14,IF(P28="C",$O$14,IF(P28="D",$R$14,IF(P28="E",$U$14,0)))))</f>
        <v>0</v>
      </c>
      <c r="BO29" s="51">
        <f t="shared" si="38"/>
        <v>0</v>
      </c>
      <c r="BP29" s="51">
        <f t="shared" si="39"/>
        <v>0</v>
      </c>
      <c r="BQ29" s="51">
        <f t="shared" si="40"/>
        <v>0</v>
      </c>
      <c r="BR29" s="51">
        <f t="shared" si="41"/>
        <v>0</v>
      </c>
      <c r="BS29" s="51">
        <f t="shared" si="42"/>
        <v>0</v>
      </c>
      <c r="BT29" s="51">
        <f t="shared" si="43"/>
        <v>0</v>
      </c>
      <c r="BU29" s="51">
        <f t="shared" si="44"/>
        <v>0</v>
      </c>
      <c r="BV29" s="51">
        <f t="shared" si="45"/>
        <v>0</v>
      </c>
    </row>
    <row r="30" spans="3:74" ht="15.75" thickBot="1" x14ac:dyDescent="0.3">
      <c r="C30" s="91" t="s">
        <v>99</v>
      </c>
      <c r="D30" s="116"/>
      <c r="E30" s="112"/>
      <c r="F30" s="111"/>
      <c r="G30" s="112"/>
      <c r="H30" s="111"/>
      <c r="I30" s="112"/>
      <c r="J30" s="111"/>
      <c r="K30" s="112"/>
      <c r="L30" s="111"/>
      <c r="M30" s="112"/>
      <c r="N30" s="111"/>
      <c r="O30" s="112"/>
      <c r="P30" s="111"/>
      <c r="Q30" s="112"/>
      <c r="R30" s="111"/>
      <c r="S30" s="112"/>
      <c r="T30" s="111"/>
      <c r="U30" s="112"/>
      <c r="V30" s="111"/>
      <c r="W30" s="112"/>
      <c r="X30" s="111"/>
      <c r="Y30" s="112"/>
      <c r="Z30" s="111"/>
      <c r="AC30" s="95" t="s">
        <v>98</v>
      </c>
      <c r="AD30" s="51">
        <f t="shared" ref="AD30:AD35" si="46">IF(D29="A",$I$14,IF(D29="B",$L$14,IF(D29="C",$O$14,IF(D29="D",$R$14,IF(D29="E",$U$14,0)))))</f>
        <v>0</v>
      </c>
      <c r="AE30" s="51">
        <f t="shared" ref="AE30:AE35" si="47">IF(D29="A",$I$15,IF(D29="B",$L$15,IF(D29="C",$O$15,IF(D29="D",$R$15,IF(D29="E",$U$15,0)))))</f>
        <v>0</v>
      </c>
      <c r="AF30" s="51">
        <f t="shared" ref="AF30:AF35" si="48">IF(D29="A",$I$16,IF(D29="B",$L$16,IF(D29="C",$O$16,IF(D29="D",$R$16,IF(D29="E",$U$16,0)))))</f>
        <v>0</v>
      </c>
      <c r="AG30" s="51">
        <f t="shared" ref="AG30:AG35" si="49">IF(E29="A",$I$14,IF(E29="B",$L$14,IF(E29="C",$O$14,IF(E29="D",$R$14,IF(E29="E",$U$14,0)))))</f>
        <v>0</v>
      </c>
      <c r="AH30" s="51">
        <f t="shared" ref="AH30:AH35" si="50">IF(E29="A",$I$15,IF(E29="B",$L$15,IF(E29="C",$O$15,IF(E29="D",$R$15,IF(E29="E",$U$15,0)))))</f>
        <v>0</v>
      </c>
      <c r="AI30" s="51">
        <f t="shared" ref="AI30:AI35" si="51">IF(E29="A",$I$16,IF(E29="B",$L$16,IF(E29="C",$O$16,IF(E29="D",$R$16,IF(E29="E",$U$16,0)))))</f>
        <v>0</v>
      </c>
      <c r="AJ30" s="51">
        <f t="shared" ref="AJ30:AJ35" si="52">IF(F29="A",$I$14,IF(F29="B",$L$14,IF(F29="C",$O$14,IF(F29="D",$R$14,IF(F29="E",$U$14,0)))))</f>
        <v>0</v>
      </c>
      <c r="AK30" s="51">
        <f t="shared" ref="AK30:AK34" si="53">IF(F29="A",$I$15,IF(F29="B",$L$15,IF(F29="C",$O$15,IF(F29="D",$R$15,IF(F29="E",$U$15,0)))))</f>
        <v>0</v>
      </c>
      <c r="AL30" s="51">
        <f t="shared" ref="AL30:AL35" si="54">IF(F29="A",$I$16,IF(F29="B",$L$16,IF(F29="C",$O$16,IF(F29="D",$R$16,IF(F29="E",$U$16,0)))))</f>
        <v>0</v>
      </c>
      <c r="AM30" s="51">
        <f t="shared" ref="AM30:AM35" si="55">IF(G29="A",$I$14,IF(G29="B",$L$14,IF(G29="C",$O$14,IF(G29="D",$R$14,IF(G29="E",$U$14,0)))))</f>
        <v>0</v>
      </c>
      <c r="AN30" s="51">
        <f t="shared" ref="AN30:AN35" si="56">IF(G29="A",$I$15,IF(G29="B",$L$15,IF(G29="C",$O$15,IF(G29="D",$R$15,IF(G29="E",$U$15,0)))))</f>
        <v>0</v>
      </c>
      <c r="AO30" s="51">
        <f t="shared" ref="AO30:AO35" si="57">IF(G29="A",$I$16,IF(G29="B",$L$16,IF(G29="C",$O$16,IF(G29="D",$R$16,IF(G29="E",$U$16,0)))))</f>
        <v>0</v>
      </c>
      <c r="AP30" s="51">
        <f t="shared" ref="AP30:AP35" si="58">IF(H29="A",$I$14,IF(H29="B",$L$14,IF(H29="C",$O$14,IF(H29="D",$R$14,IF(H29="E",$U$14,0)))))</f>
        <v>0</v>
      </c>
      <c r="AQ30" s="51">
        <f t="shared" ref="AQ30:AQ35" si="59">IF(H29="A",$I$15,IF(H29="B",$L$15,IF(H29="C",$O$15,IF(H29="D",$R$15,IF(H29="E",$U$15,0)))))</f>
        <v>0</v>
      </c>
      <c r="AR30" s="51">
        <f t="shared" ref="AR30:AR35" si="60">IF(H29="A",$I$16,IF(H29="B",$L$16,IF(H29="C",$O$16,IF(H29="D",$R$16,IF(H29="E",$U$16,0)))))</f>
        <v>0</v>
      </c>
      <c r="AS30" s="51">
        <f t="shared" ref="AS30:AS35" si="61">IF(I29="A",$I$14,IF(I29="B",$L$14,IF(I29="C",$O$14,IF(I29="D",$R$14,IF(I29="E",$U$14,0)))))</f>
        <v>0</v>
      </c>
      <c r="AT30" s="51">
        <f t="shared" ref="AT30:AT35" si="62">IF(I29="A",$I$15,IF(I29="B",$L$15,IF(I29="C",$O$15,IF(I29="D",$R$15,IF(I29="E",$U$15,0)))))</f>
        <v>0</v>
      </c>
      <c r="AU30" s="51">
        <f t="shared" ref="AU30:AU35" si="63">IF(I29="A",$I$16,IF(I29="B",$L$16,IF(I29="C",$O$16,IF(I29="D",$R$16,IF(I29="E",$U$16,0)))))</f>
        <v>0</v>
      </c>
      <c r="AV30" s="51">
        <f t="shared" ref="AV30:AV35" si="64">IF(J29="A",$I$14,IF(J29="B",$L$14,IF(J29="C",$O$14,IF(J29="D",$R$14,IF(J29="E",$U$14,0)))))</f>
        <v>0</v>
      </c>
      <c r="AW30" s="51">
        <f t="shared" ref="AW30:AW35" si="65">IF(J29="A",$I$15,IF(J29="B",$L$15,IF(J29="C",$O$15,IF(J29="D",$R$15,IF(J29="E",$U$15,0)))))</f>
        <v>0</v>
      </c>
      <c r="AX30" s="51">
        <f t="shared" ref="AX30:AX35" si="66">IF(J29="A",$I$16,IF(J29="B",$L$16,IF(J29="C",$O$16,IF(J29="D",$R$16,IF(J29="E",$U$16,0)))))</f>
        <v>0</v>
      </c>
      <c r="AY30" s="51">
        <f t="shared" ref="AY30:AY35" si="67">IF(K29="A",$I$14,IF(K29="B",$L$14,IF(K29="C",$O$14,IF(K29="D",$R$14,IF(K29="E",$U$14,0)))))</f>
        <v>0</v>
      </c>
      <c r="AZ30" s="51">
        <f t="shared" ref="AZ30:AZ35" si="68">IF(K29="A",$I$15,IF(K29="B",$L$15,IF(K29="C",$O$15,IF(K29="D",$R$15,IF(K29="E",$U$15,0)))))</f>
        <v>0</v>
      </c>
      <c r="BA30" s="51">
        <f t="shared" ref="BA30:BA35" si="69">IF(K29="A",$I$16,IF(K29="B",$L$16,IF(K29="C",$O$16,IF(K29="D",$R$16,IF(K29="E",$U$16,0)))))</f>
        <v>0</v>
      </c>
      <c r="BB30" s="51">
        <f t="shared" ref="BB30:BB35" si="70">IF(L29="A",$I$14,IF(L29="B",$L$14,IF(L29="C",$O$14,IF(L29="D",$R$14,IF(L29="E",$U$14,0)))))</f>
        <v>0</v>
      </c>
      <c r="BC30" s="51">
        <f t="shared" ref="BC30:BC35" si="71">IF(L29="A",$I$15,IF(L29="B",$L$15,IF(L29="C",$O$15,IF(L29="D",$R$15,IF(L29="E",$U$15,0)))))</f>
        <v>0</v>
      </c>
      <c r="BD30" s="51">
        <f t="shared" ref="BD30:BD35" si="72">IF(L29="A",$I$16,IF(L29="B",$L$16,IF(L29="C",$O$16,IF(L29="D",$R$16,IF(L29="E",$U$16,0)))))</f>
        <v>0</v>
      </c>
      <c r="BE30" s="51">
        <f t="shared" ref="BE30:BE35" si="73">IF(M29="A",$I$14,IF(M29="B",$L$14,IF(M29="C",$O$14,IF(M29="D",$R$14,IF(M29="E",$U$14,0)))))</f>
        <v>0</v>
      </c>
      <c r="BF30" s="51">
        <f t="shared" ref="BF30:BF35" si="74">IF(M29="A",$I$15,IF(M29="B",$L$15,IF(M29="C",$O$15,IF(M29="D",$R$15,IF(M29="E",$U$15,0)))))</f>
        <v>0</v>
      </c>
      <c r="BG30" s="51">
        <f t="shared" ref="BG30:BG35" si="75">IF(M29="A",$I$16,IF(M29="B",$L$16,IF(M29="C",$O$16,IF(M29="D",$R$16,IF(M29="E",$U$16,0)))))</f>
        <v>0</v>
      </c>
      <c r="BH30" s="51">
        <f t="shared" ref="BH30:BH35" si="76">IF(N29="A",$I$14,IF(N29="B",$L$14,IF(N29="C",$O$14,IF(N29="D",$R$14,IF(N29="E",$U$14,0)))))</f>
        <v>0</v>
      </c>
      <c r="BI30" s="51">
        <f t="shared" ref="BI30:BI35" si="77">IF(N29="A",$I$15,IF(N29="B",$L$15,IF(N29="C",$O$15,IF(N29="D",$R$15,IF(N29="E",$U$15,0)))))</f>
        <v>0</v>
      </c>
      <c r="BJ30" s="51">
        <f t="shared" ref="BJ30:BJ35" si="78">IF(N29="A",$I$16,IF(N29="B",$L$16,IF(N29="C",$O$16,IF(N29="D",$R$16,IF(N29="E",$U$16,0)))))</f>
        <v>0</v>
      </c>
      <c r="BK30" s="51">
        <f t="shared" ref="BK30:BK35" si="79">IF(O29="A",$I$14,IF(O29="B",$L$14,IF(O29="C",$O$14,IF(O29="D",$R$14,IF(O29="E",$U$14,0)))))</f>
        <v>0</v>
      </c>
      <c r="BL30" s="51">
        <f t="shared" ref="BL30:BL35" si="80">IF(O29="A",$I$15,IF(O29="B",$L$15,IF(O29="C",$O$15,IF(O29="D",$R$15,IF(O29="E",$U$15,0)))))</f>
        <v>0</v>
      </c>
      <c r="BM30" s="51">
        <f t="shared" ref="BM30:BM35" si="81">IF(O29="A",$I$16,IF(O29="B",$L$16,IF(O29="C",$O$16,IF(O29="D",$R$16,IF(O29="E",$U$16,0)))))</f>
        <v>0</v>
      </c>
      <c r="BN30" s="51">
        <f t="shared" ref="BN30:BN34" si="82">IF(P29="A",$I$14,IF(P29="B",$L$14,IF(P29="C",$O$14,IF(P29="D",$R$14,IF(P29="E",$U$14,0)))))</f>
        <v>0</v>
      </c>
      <c r="BO30" s="51">
        <f t="shared" ref="BO30:BO35" si="83">IF(P29="A",$I$15,IF(P29="B",$L$15,IF(P29="C",$O$15,IF(P29="D",$R$15,IF(P29="E",$U$15,0)))))</f>
        <v>0</v>
      </c>
      <c r="BP30" s="51">
        <f t="shared" ref="BP30:BP35" si="84">IF(P29="A",$I$16,IF(P29="B",$L$16,IF(P29="C",$O$16,IF(P29="D",$R$16,IF(P29="E",$U$16,0)))))</f>
        <v>0</v>
      </c>
      <c r="BQ30" s="51">
        <f t="shared" ref="BQ30:BQ35" si="85">IF(Q29="A",$I$14,IF(Q29="B",$L$14,IF(Q29="C",$O$14,IF(Q29="D",$R$14,IF(Q29="E",$U$14,0)))))</f>
        <v>0</v>
      </c>
      <c r="BR30" s="51">
        <f t="shared" ref="BR30:BR35" si="86">IF(Q29="A",$I$15,IF(Q29="B",$L$15,IF(Q29="C",$O$15,IF(Q29="D",$R$15,IF(Q29="E",$U$15,0)))))</f>
        <v>0</v>
      </c>
      <c r="BS30" s="51">
        <f t="shared" ref="BS30:BS35" si="87">IF(Q29="A",$I$16,IF(Q29="B",$L$16,IF(Q29="C",$O$16,IF(Q29="D",$R$16,IF(Q29="E",$U$16,0)))))</f>
        <v>0</v>
      </c>
      <c r="BT30" s="51">
        <f t="shared" ref="BT30:BT35" si="88">IF(R29="A",$I$14,IF(R29="B",$L$14,IF(R29="C",$O$14,IF(R29="D",$R$14,IF(R29="E",$U$14,0)))))</f>
        <v>0</v>
      </c>
      <c r="BU30" s="51">
        <f t="shared" ref="BU30:BU35" si="89">IF(R29="A",$I$15,IF(R29="B",$L$15,IF(R29="C",$O$15,IF(R29="D",$R$15,IF(R29="E",$U$15,0)))))</f>
        <v>0</v>
      </c>
      <c r="BV30" s="51">
        <f t="shared" ref="BV30:BV35" si="90">IF(R29="A",$I$16,IF(R29="B",$L$16,IF(R29="C",$O$16,IF(R29="D",$R$16,IF(R29="E",$U$16,0)))))</f>
        <v>0</v>
      </c>
    </row>
    <row r="31" spans="3:74" ht="15.75" thickBot="1" x14ac:dyDescent="0.3">
      <c r="C31" s="91" t="s">
        <v>100</v>
      </c>
      <c r="D31" s="116"/>
      <c r="E31" s="112"/>
      <c r="F31" s="111"/>
      <c r="G31" s="112"/>
      <c r="H31" s="111"/>
      <c r="I31" s="112"/>
      <c r="J31" s="111"/>
      <c r="K31" s="112"/>
      <c r="L31" s="111"/>
      <c r="M31" s="112"/>
      <c r="N31" s="111"/>
      <c r="O31" s="112"/>
      <c r="P31" s="111"/>
      <c r="Q31" s="112"/>
      <c r="R31" s="111"/>
      <c r="S31" s="112"/>
      <c r="T31" s="111"/>
      <c r="U31" s="112"/>
      <c r="V31" s="111"/>
      <c r="W31" s="112"/>
      <c r="X31" s="111"/>
      <c r="Y31" s="112"/>
      <c r="Z31" s="111"/>
      <c r="AC31" s="95" t="s">
        <v>99</v>
      </c>
      <c r="AD31" s="51">
        <f t="shared" si="46"/>
        <v>0</v>
      </c>
      <c r="AE31" s="51">
        <f t="shared" si="47"/>
        <v>0</v>
      </c>
      <c r="AF31" s="51">
        <f t="shared" si="48"/>
        <v>0</v>
      </c>
      <c r="AG31" s="51">
        <f t="shared" si="49"/>
        <v>0</v>
      </c>
      <c r="AH31" s="51">
        <f t="shared" si="50"/>
        <v>0</v>
      </c>
      <c r="AI31" s="51">
        <f t="shared" si="51"/>
        <v>0</v>
      </c>
      <c r="AJ31" s="51">
        <f t="shared" si="52"/>
        <v>0</v>
      </c>
      <c r="AK31" s="51">
        <f t="shared" si="53"/>
        <v>0</v>
      </c>
      <c r="AL31" s="51">
        <f t="shared" si="54"/>
        <v>0</v>
      </c>
      <c r="AM31" s="51">
        <f t="shared" si="55"/>
        <v>0</v>
      </c>
      <c r="AN31" s="51">
        <f t="shared" si="56"/>
        <v>0</v>
      </c>
      <c r="AO31" s="51">
        <f t="shared" si="57"/>
        <v>0</v>
      </c>
      <c r="AP31" s="51">
        <f t="shared" si="58"/>
        <v>0</v>
      </c>
      <c r="AQ31" s="51">
        <f t="shared" si="59"/>
        <v>0</v>
      </c>
      <c r="AR31" s="51">
        <f t="shared" si="60"/>
        <v>0</v>
      </c>
      <c r="AS31" s="51">
        <f t="shared" si="61"/>
        <v>0</v>
      </c>
      <c r="AT31" s="51">
        <f t="shared" si="62"/>
        <v>0</v>
      </c>
      <c r="AU31" s="51">
        <f t="shared" si="63"/>
        <v>0</v>
      </c>
      <c r="AV31" s="51">
        <f t="shared" si="64"/>
        <v>0</v>
      </c>
      <c r="AW31" s="51">
        <f t="shared" si="65"/>
        <v>0</v>
      </c>
      <c r="AX31" s="51">
        <f t="shared" si="66"/>
        <v>0</v>
      </c>
      <c r="AY31" s="51">
        <f t="shared" si="67"/>
        <v>0</v>
      </c>
      <c r="AZ31" s="51">
        <f t="shared" si="68"/>
        <v>0</v>
      </c>
      <c r="BA31" s="51">
        <f t="shared" si="69"/>
        <v>0</v>
      </c>
      <c r="BB31" s="51">
        <f t="shared" si="70"/>
        <v>0</v>
      </c>
      <c r="BC31" s="51">
        <f t="shared" si="71"/>
        <v>0</v>
      </c>
      <c r="BD31" s="51">
        <f t="shared" si="72"/>
        <v>0</v>
      </c>
      <c r="BE31" s="51">
        <f t="shared" si="73"/>
        <v>0</v>
      </c>
      <c r="BF31" s="51">
        <f t="shared" si="74"/>
        <v>0</v>
      </c>
      <c r="BG31" s="51">
        <f t="shared" si="75"/>
        <v>0</v>
      </c>
      <c r="BH31" s="51">
        <f t="shared" si="76"/>
        <v>0</v>
      </c>
      <c r="BI31" s="51">
        <f t="shared" si="77"/>
        <v>0</v>
      </c>
      <c r="BJ31" s="51">
        <f t="shared" si="78"/>
        <v>0</v>
      </c>
      <c r="BK31" s="51">
        <f t="shared" si="79"/>
        <v>0</v>
      </c>
      <c r="BL31" s="51">
        <f t="shared" si="80"/>
        <v>0</v>
      </c>
      <c r="BM31" s="51">
        <f t="shared" si="81"/>
        <v>0</v>
      </c>
      <c r="BN31" s="51">
        <f t="shared" si="82"/>
        <v>0</v>
      </c>
      <c r="BO31" s="51">
        <f t="shared" si="83"/>
        <v>0</v>
      </c>
      <c r="BP31" s="51">
        <f t="shared" si="84"/>
        <v>0</v>
      </c>
      <c r="BQ31" s="51">
        <f t="shared" si="85"/>
        <v>0</v>
      </c>
      <c r="BR31" s="51">
        <f t="shared" si="86"/>
        <v>0</v>
      </c>
      <c r="BS31" s="51">
        <f t="shared" si="87"/>
        <v>0</v>
      </c>
      <c r="BT31" s="51">
        <f t="shared" si="88"/>
        <v>0</v>
      </c>
      <c r="BU31" s="51">
        <f t="shared" si="89"/>
        <v>0</v>
      </c>
      <c r="BV31" s="51">
        <f t="shared" si="90"/>
        <v>0</v>
      </c>
    </row>
    <row r="32" spans="3:74" ht="15.75" thickBot="1" x14ac:dyDescent="0.3">
      <c r="C32" s="91" t="s">
        <v>101</v>
      </c>
      <c r="D32" s="116"/>
      <c r="E32" s="112"/>
      <c r="F32" s="111"/>
      <c r="G32" s="112"/>
      <c r="H32" s="111"/>
      <c r="I32" s="112"/>
      <c r="J32" s="111"/>
      <c r="K32" s="112"/>
      <c r="L32" s="111"/>
      <c r="M32" s="112"/>
      <c r="N32" s="111"/>
      <c r="O32" s="112"/>
      <c r="P32" s="111"/>
      <c r="Q32" s="112"/>
      <c r="R32" s="111"/>
      <c r="S32" s="112"/>
      <c r="T32" s="111"/>
      <c r="U32" s="112"/>
      <c r="V32" s="111"/>
      <c r="W32" s="112"/>
      <c r="X32" s="111"/>
      <c r="Y32" s="112"/>
      <c r="Z32" s="111"/>
      <c r="AC32" s="95" t="s">
        <v>100</v>
      </c>
      <c r="AD32" s="51">
        <f t="shared" si="46"/>
        <v>0</v>
      </c>
      <c r="AE32" s="51">
        <f t="shared" si="47"/>
        <v>0</v>
      </c>
      <c r="AF32" s="51">
        <f t="shared" si="48"/>
        <v>0</v>
      </c>
      <c r="AG32" s="51">
        <f t="shared" si="49"/>
        <v>0</v>
      </c>
      <c r="AH32" s="51">
        <f t="shared" si="50"/>
        <v>0</v>
      </c>
      <c r="AI32" s="51">
        <f t="shared" si="51"/>
        <v>0</v>
      </c>
      <c r="AJ32" s="51">
        <f t="shared" si="52"/>
        <v>0</v>
      </c>
      <c r="AK32" s="51">
        <f t="shared" si="53"/>
        <v>0</v>
      </c>
      <c r="AL32" s="51">
        <f t="shared" si="54"/>
        <v>0</v>
      </c>
      <c r="AM32" s="51">
        <f t="shared" si="55"/>
        <v>0</v>
      </c>
      <c r="AN32" s="51">
        <f t="shared" si="56"/>
        <v>0</v>
      </c>
      <c r="AO32" s="51">
        <f t="shared" si="57"/>
        <v>0</v>
      </c>
      <c r="AP32" s="51">
        <f t="shared" si="58"/>
        <v>0</v>
      </c>
      <c r="AQ32" s="51">
        <f t="shared" si="59"/>
        <v>0</v>
      </c>
      <c r="AR32" s="51">
        <f t="shared" si="60"/>
        <v>0</v>
      </c>
      <c r="AS32" s="51">
        <f t="shared" si="61"/>
        <v>0</v>
      </c>
      <c r="AT32" s="51">
        <f t="shared" si="62"/>
        <v>0</v>
      </c>
      <c r="AU32" s="51">
        <f t="shared" si="63"/>
        <v>0</v>
      </c>
      <c r="AV32" s="51">
        <f t="shared" si="64"/>
        <v>0</v>
      </c>
      <c r="AW32" s="51">
        <f t="shared" si="65"/>
        <v>0</v>
      </c>
      <c r="AX32" s="51">
        <f t="shared" si="66"/>
        <v>0</v>
      </c>
      <c r="AY32" s="51">
        <f t="shared" si="67"/>
        <v>0</v>
      </c>
      <c r="AZ32" s="51">
        <f t="shared" si="68"/>
        <v>0</v>
      </c>
      <c r="BA32" s="51">
        <f t="shared" si="69"/>
        <v>0</v>
      </c>
      <c r="BB32" s="51">
        <f t="shared" si="70"/>
        <v>0</v>
      </c>
      <c r="BC32" s="51">
        <f t="shared" si="71"/>
        <v>0</v>
      </c>
      <c r="BD32" s="51">
        <f t="shared" si="72"/>
        <v>0</v>
      </c>
      <c r="BE32" s="51">
        <f t="shared" si="73"/>
        <v>0</v>
      </c>
      <c r="BF32" s="51">
        <f t="shared" si="74"/>
        <v>0</v>
      </c>
      <c r="BG32" s="51">
        <f t="shared" si="75"/>
        <v>0</v>
      </c>
      <c r="BH32" s="51">
        <f t="shared" si="76"/>
        <v>0</v>
      </c>
      <c r="BI32" s="51">
        <f t="shared" si="77"/>
        <v>0</v>
      </c>
      <c r="BJ32" s="51">
        <f t="shared" si="78"/>
        <v>0</v>
      </c>
      <c r="BK32" s="51">
        <f t="shared" si="79"/>
        <v>0</v>
      </c>
      <c r="BL32" s="51">
        <f t="shared" si="80"/>
        <v>0</v>
      </c>
      <c r="BM32" s="51">
        <f t="shared" si="81"/>
        <v>0</v>
      </c>
      <c r="BN32" s="51">
        <f t="shared" si="82"/>
        <v>0</v>
      </c>
      <c r="BO32" s="51">
        <f t="shared" si="83"/>
        <v>0</v>
      </c>
      <c r="BP32" s="51">
        <f t="shared" si="84"/>
        <v>0</v>
      </c>
      <c r="BQ32" s="51">
        <f t="shared" si="85"/>
        <v>0</v>
      </c>
      <c r="BR32" s="51">
        <f t="shared" si="86"/>
        <v>0</v>
      </c>
      <c r="BS32" s="51">
        <f t="shared" si="87"/>
        <v>0</v>
      </c>
      <c r="BT32" s="51">
        <f t="shared" si="88"/>
        <v>0</v>
      </c>
      <c r="BU32" s="51">
        <f t="shared" si="89"/>
        <v>0</v>
      </c>
      <c r="BV32" s="51">
        <f t="shared" si="90"/>
        <v>0</v>
      </c>
    </row>
    <row r="33" spans="2:74" ht="15.75" thickBot="1" x14ac:dyDescent="0.3">
      <c r="C33" s="91" t="s">
        <v>102</v>
      </c>
      <c r="D33" s="116"/>
      <c r="E33" s="112"/>
      <c r="F33" s="111"/>
      <c r="G33" s="112"/>
      <c r="H33" s="111"/>
      <c r="I33" s="112"/>
      <c r="J33" s="111"/>
      <c r="K33" s="112"/>
      <c r="L33" s="111"/>
      <c r="M33" s="112"/>
      <c r="N33" s="111"/>
      <c r="O33" s="112"/>
      <c r="P33" s="111"/>
      <c r="Q33" s="112"/>
      <c r="R33" s="111"/>
      <c r="S33" s="112"/>
      <c r="T33" s="111"/>
      <c r="U33" s="112"/>
      <c r="V33" s="111"/>
      <c r="W33" s="112"/>
      <c r="X33" s="111"/>
      <c r="Y33" s="112"/>
      <c r="Z33" s="111"/>
      <c r="AC33" s="95" t="s">
        <v>101</v>
      </c>
      <c r="AD33" s="51">
        <f t="shared" si="46"/>
        <v>0</v>
      </c>
      <c r="AE33" s="51">
        <f t="shared" si="47"/>
        <v>0</v>
      </c>
      <c r="AF33" s="51">
        <f t="shared" si="48"/>
        <v>0</v>
      </c>
      <c r="AG33" s="51">
        <f t="shared" si="49"/>
        <v>0</v>
      </c>
      <c r="AH33" s="51">
        <f t="shared" si="50"/>
        <v>0</v>
      </c>
      <c r="AI33" s="51">
        <f t="shared" si="51"/>
        <v>0</v>
      </c>
      <c r="AJ33" s="51">
        <f t="shared" si="52"/>
        <v>0</v>
      </c>
      <c r="AK33" s="51">
        <f t="shared" si="53"/>
        <v>0</v>
      </c>
      <c r="AL33" s="51">
        <f t="shared" si="54"/>
        <v>0</v>
      </c>
      <c r="AM33" s="51">
        <f t="shared" si="55"/>
        <v>0</v>
      </c>
      <c r="AN33" s="51">
        <f t="shared" si="56"/>
        <v>0</v>
      </c>
      <c r="AO33" s="51">
        <f t="shared" si="57"/>
        <v>0</v>
      </c>
      <c r="AP33" s="51">
        <f t="shared" si="58"/>
        <v>0</v>
      </c>
      <c r="AQ33" s="51">
        <f t="shared" si="59"/>
        <v>0</v>
      </c>
      <c r="AR33" s="51">
        <f t="shared" si="60"/>
        <v>0</v>
      </c>
      <c r="AS33" s="51">
        <f t="shared" si="61"/>
        <v>0</v>
      </c>
      <c r="AT33" s="51">
        <f t="shared" si="62"/>
        <v>0</v>
      </c>
      <c r="AU33" s="51">
        <f t="shared" si="63"/>
        <v>0</v>
      </c>
      <c r="AV33" s="51">
        <f t="shared" si="64"/>
        <v>0</v>
      </c>
      <c r="AW33" s="51">
        <f t="shared" si="65"/>
        <v>0</v>
      </c>
      <c r="AX33" s="51">
        <f t="shared" si="66"/>
        <v>0</v>
      </c>
      <c r="AY33" s="51">
        <f t="shared" si="67"/>
        <v>0</v>
      </c>
      <c r="AZ33" s="51">
        <f t="shared" si="68"/>
        <v>0</v>
      </c>
      <c r="BA33" s="51">
        <f t="shared" si="69"/>
        <v>0</v>
      </c>
      <c r="BB33" s="51">
        <f t="shared" si="70"/>
        <v>0</v>
      </c>
      <c r="BC33" s="51">
        <f t="shared" si="71"/>
        <v>0</v>
      </c>
      <c r="BD33" s="51">
        <f t="shared" si="72"/>
        <v>0</v>
      </c>
      <c r="BE33" s="51">
        <f t="shared" si="73"/>
        <v>0</v>
      </c>
      <c r="BF33" s="51">
        <f t="shared" si="74"/>
        <v>0</v>
      </c>
      <c r="BG33" s="51">
        <f t="shared" si="75"/>
        <v>0</v>
      </c>
      <c r="BH33" s="51">
        <f t="shared" si="76"/>
        <v>0</v>
      </c>
      <c r="BI33" s="51">
        <f t="shared" si="77"/>
        <v>0</v>
      </c>
      <c r="BJ33" s="51">
        <f t="shared" si="78"/>
        <v>0</v>
      </c>
      <c r="BK33" s="51">
        <f t="shared" si="79"/>
        <v>0</v>
      </c>
      <c r="BL33" s="51">
        <f t="shared" si="80"/>
        <v>0</v>
      </c>
      <c r="BM33" s="51">
        <f t="shared" si="81"/>
        <v>0</v>
      </c>
      <c r="BN33" s="51">
        <f t="shared" si="82"/>
        <v>0</v>
      </c>
      <c r="BO33" s="51">
        <f t="shared" si="83"/>
        <v>0</v>
      </c>
      <c r="BP33" s="51">
        <f t="shared" si="84"/>
        <v>0</v>
      </c>
      <c r="BQ33" s="51">
        <f t="shared" si="85"/>
        <v>0</v>
      </c>
      <c r="BR33" s="51">
        <f t="shared" si="86"/>
        <v>0</v>
      </c>
      <c r="BS33" s="51">
        <f t="shared" si="87"/>
        <v>0</v>
      </c>
      <c r="BT33" s="51">
        <f t="shared" si="88"/>
        <v>0</v>
      </c>
      <c r="BU33" s="51">
        <f t="shared" si="89"/>
        <v>0</v>
      </c>
      <c r="BV33" s="51">
        <f t="shared" si="90"/>
        <v>0</v>
      </c>
    </row>
    <row r="34" spans="2:74" ht="15.75" thickBot="1" x14ac:dyDescent="0.3">
      <c r="C34" s="91" t="s">
        <v>103</v>
      </c>
      <c r="D34" s="116"/>
      <c r="E34" s="112"/>
      <c r="F34" s="111"/>
      <c r="G34" s="112"/>
      <c r="H34" s="111"/>
      <c r="I34" s="112"/>
      <c r="J34" s="111"/>
      <c r="K34" s="112"/>
      <c r="L34" s="111"/>
      <c r="M34" s="112"/>
      <c r="N34" s="111"/>
      <c r="O34" s="112"/>
      <c r="P34" s="111"/>
      <c r="Q34" s="112"/>
      <c r="R34" s="111"/>
      <c r="S34" s="112"/>
      <c r="T34" s="111"/>
      <c r="U34" s="112"/>
      <c r="V34" s="111"/>
      <c r="W34" s="112"/>
      <c r="X34" s="111"/>
      <c r="Y34" s="112"/>
      <c r="Z34" s="111"/>
      <c r="AC34" s="95" t="s">
        <v>102</v>
      </c>
      <c r="AD34" s="51">
        <f t="shared" si="46"/>
        <v>0</v>
      </c>
      <c r="AE34" s="51">
        <f t="shared" si="47"/>
        <v>0</v>
      </c>
      <c r="AF34" s="51">
        <f t="shared" si="48"/>
        <v>0</v>
      </c>
      <c r="AG34" s="51">
        <f t="shared" si="49"/>
        <v>0</v>
      </c>
      <c r="AH34" s="51">
        <f t="shared" si="50"/>
        <v>0</v>
      </c>
      <c r="AI34" s="51">
        <f t="shared" si="51"/>
        <v>0</v>
      </c>
      <c r="AJ34" s="51">
        <f t="shared" si="52"/>
        <v>0</v>
      </c>
      <c r="AK34" s="51">
        <f t="shared" si="53"/>
        <v>0</v>
      </c>
      <c r="AL34" s="51">
        <f t="shared" si="54"/>
        <v>0</v>
      </c>
      <c r="AM34" s="51">
        <f t="shared" si="55"/>
        <v>0</v>
      </c>
      <c r="AN34" s="51">
        <f t="shared" si="56"/>
        <v>0</v>
      </c>
      <c r="AO34" s="51">
        <f t="shared" si="57"/>
        <v>0</v>
      </c>
      <c r="AP34" s="51">
        <f t="shared" si="58"/>
        <v>0</v>
      </c>
      <c r="AQ34" s="51">
        <f t="shared" si="59"/>
        <v>0</v>
      </c>
      <c r="AR34" s="51">
        <f t="shared" si="60"/>
        <v>0</v>
      </c>
      <c r="AS34" s="51">
        <f t="shared" si="61"/>
        <v>0</v>
      </c>
      <c r="AT34" s="51">
        <f t="shared" si="62"/>
        <v>0</v>
      </c>
      <c r="AU34" s="51">
        <f t="shared" si="63"/>
        <v>0</v>
      </c>
      <c r="AV34" s="51">
        <f t="shared" si="64"/>
        <v>0</v>
      </c>
      <c r="AW34" s="51">
        <f t="shared" si="65"/>
        <v>0</v>
      </c>
      <c r="AX34" s="51">
        <f t="shared" si="66"/>
        <v>0</v>
      </c>
      <c r="AY34" s="51">
        <f t="shared" si="67"/>
        <v>0</v>
      </c>
      <c r="AZ34" s="51">
        <f t="shared" si="68"/>
        <v>0</v>
      </c>
      <c r="BA34" s="51">
        <f t="shared" si="69"/>
        <v>0</v>
      </c>
      <c r="BB34" s="51">
        <f t="shared" si="70"/>
        <v>0</v>
      </c>
      <c r="BC34" s="51">
        <f t="shared" si="71"/>
        <v>0</v>
      </c>
      <c r="BD34" s="51">
        <f t="shared" si="72"/>
        <v>0</v>
      </c>
      <c r="BE34" s="51">
        <f t="shared" si="73"/>
        <v>0</v>
      </c>
      <c r="BF34" s="51">
        <f t="shared" si="74"/>
        <v>0</v>
      </c>
      <c r="BG34" s="51">
        <f t="shared" si="75"/>
        <v>0</v>
      </c>
      <c r="BH34" s="51">
        <f t="shared" si="76"/>
        <v>0</v>
      </c>
      <c r="BI34" s="51">
        <f t="shared" si="77"/>
        <v>0</v>
      </c>
      <c r="BJ34" s="51">
        <f t="shared" si="78"/>
        <v>0</v>
      </c>
      <c r="BK34" s="51">
        <f t="shared" si="79"/>
        <v>0</v>
      </c>
      <c r="BL34" s="51">
        <f t="shared" si="80"/>
        <v>0</v>
      </c>
      <c r="BM34" s="51">
        <f t="shared" si="81"/>
        <v>0</v>
      </c>
      <c r="BN34" s="51">
        <f t="shared" si="82"/>
        <v>0</v>
      </c>
      <c r="BO34" s="51">
        <f t="shared" si="83"/>
        <v>0</v>
      </c>
      <c r="BP34" s="51">
        <f t="shared" si="84"/>
        <v>0</v>
      </c>
      <c r="BQ34" s="51">
        <f t="shared" si="85"/>
        <v>0</v>
      </c>
      <c r="BR34" s="51">
        <f t="shared" si="86"/>
        <v>0</v>
      </c>
      <c r="BS34" s="51">
        <f t="shared" si="87"/>
        <v>0</v>
      </c>
      <c r="BT34" s="51">
        <f t="shared" si="88"/>
        <v>0</v>
      </c>
      <c r="BU34" s="51">
        <f t="shared" si="89"/>
        <v>0</v>
      </c>
      <c r="BV34" s="51">
        <f t="shared" si="90"/>
        <v>0</v>
      </c>
    </row>
    <row r="35" spans="2:74" ht="15.75" thickBot="1" x14ac:dyDescent="0.3">
      <c r="C35" s="91" t="s">
        <v>104</v>
      </c>
      <c r="D35" s="116"/>
      <c r="E35" s="112"/>
      <c r="F35" s="111"/>
      <c r="G35" s="112"/>
      <c r="H35" s="111"/>
      <c r="I35" s="112"/>
      <c r="J35" s="111"/>
      <c r="K35" s="112"/>
      <c r="L35" s="111"/>
      <c r="M35" s="112"/>
      <c r="N35" s="111"/>
      <c r="O35" s="112"/>
      <c r="P35" s="111"/>
      <c r="Q35" s="112"/>
      <c r="R35" s="111"/>
      <c r="S35" s="112"/>
      <c r="T35" s="111"/>
      <c r="U35" s="112"/>
      <c r="V35" s="111"/>
      <c r="W35" s="112"/>
      <c r="X35" s="111"/>
      <c r="Y35" s="112"/>
      <c r="Z35" s="111"/>
      <c r="AC35" s="95" t="s">
        <v>103</v>
      </c>
      <c r="AD35" s="51">
        <f t="shared" si="46"/>
        <v>0</v>
      </c>
      <c r="AE35" s="51">
        <f t="shared" si="47"/>
        <v>0</v>
      </c>
      <c r="AF35" s="51">
        <f t="shared" si="48"/>
        <v>0</v>
      </c>
      <c r="AG35" s="51">
        <f t="shared" si="49"/>
        <v>0</v>
      </c>
      <c r="AH35" s="51">
        <f t="shared" si="50"/>
        <v>0</v>
      </c>
      <c r="AI35" s="51">
        <f t="shared" si="51"/>
        <v>0</v>
      </c>
      <c r="AJ35" s="51">
        <f t="shared" si="52"/>
        <v>0</v>
      </c>
      <c r="AK35" s="51">
        <f>IF(F34="A",$I$15,IF(F34="B",$L$15,IF(F34="C",$O$15,IF(F34="D",$R$15,IF(F34="E",$U$15,0)))))</f>
        <v>0</v>
      </c>
      <c r="AL35" s="51">
        <f t="shared" si="54"/>
        <v>0</v>
      </c>
      <c r="AM35" s="51">
        <f t="shared" si="55"/>
        <v>0</v>
      </c>
      <c r="AN35" s="51">
        <f t="shared" si="56"/>
        <v>0</v>
      </c>
      <c r="AO35" s="51">
        <f t="shared" si="57"/>
        <v>0</v>
      </c>
      <c r="AP35" s="51">
        <f t="shared" si="58"/>
        <v>0</v>
      </c>
      <c r="AQ35" s="51">
        <f t="shared" si="59"/>
        <v>0</v>
      </c>
      <c r="AR35" s="51">
        <f t="shared" si="60"/>
        <v>0</v>
      </c>
      <c r="AS35" s="51">
        <f t="shared" si="61"/>
        <v>0</v>
      </c>
      <c r="AT35" s="51">
        <f t="shared" si="62"/>
        <v>0</v>
      </c>
      <c r="AU35" s="51">
        <f t="shared" si="63"/>
        <v>0</v>
      </c>
      <c r="AV35" s="51">
        <f t="shared" si="64"/>
        <v>0</v>
      </c>
      <c r="AW35" s="51">
        <f t="shared" si="65"/>
        <v>0</v>
      </c>
      <c r="AX35" s="51">
        <f t="shared" si="66"/>
        <v>0</v>
      </c>
      <c r="AY35" s="51">
        <f t="shared" si="67"/>
        <v>0</v>
      </c>
      <c r="AZ35" s="51">
        <f t="shared" si="68"/>
        <v>0</v>
      </c>
      <c r="BA35" s="51">
        <f t="shared" si="69"/>
        <v>0</v>
      </c>
      <c r="BB35" s="51">
        <f t="shared" si="70"/>
        <v>0</v>
      </c>
      <c r="BC35" s="51">
        <f t="shared" si="71"/>
        <v>0</v>
      </c>
      <c r="BD35" s="51">
        <f t="shared" si="72"/>
        <v>0</v>
      </c>
      <c r="BE35" s="51">
        <f t="shared" si="73"/>
        <v>0</v>
      </c>
      <c r="BF35" s="51">
        <f t="shared" si="74"/>
        <v>0</v>
      </c>
      <c r="BG35" s="51">
        <f t="shared" si="75"/>
        <v>0</v>
      </c>
      <c r="BH35" s="51">
        <f t="shared" si="76"/>
        <v>0</v>
      </c>
      <c r="BI35" s="51">
        <f t="shared" si="77"/>
        <v>0</v>
      </c>
      <c r="BJ35" s="51">
        <f t="shared" si="78"/>
        <v>0</v>
      </c>
      <c r="BK35" s="51">
        <f t="shared" si="79"/>
        <v>0</v>
      </c>
      <c r="BL35" s="51">
        <f t="shared" si="80"/>
        <v>0</v>
      </c>
      <c r="BM35" s="51">
        <f t="shared" si="81"/>
        <v>0</v>
      </c>
      <c r="BN35" s="51">
        <f>IF(P34="A",$I$14,IF(P34="B",$L$14,IF(P34="C",$O$14,IF(P34="D",$R$14,IF(P34="E",$U$14,0)))))</f>
        <v>0</v>
      </c>
      <c r="BO35" s="51">
        <f t="shared" si="83"/>
        <v>0</v>
      </c>
      <c r="BP35" s="51">
        <f t="shared" si="84"/>
        <v>0</v>
      </c>
      <c r="BQ35" s="51">
        <f t="shared" si="85"/>
        <v>0</v>
      </c>
      <c r="BR35" s="51">
        <f t="shared" si="86"/>
        <v>0</v>
      </c>
      <c r="BS35" s="51">
        <f t="shared" si="87"/>
        <v>0</v>
      </c>
      <c r="BT35" s="51">
        <f t="shared" si="88"/>
        <v>0</v>
      </c>
      <c r="BU35" s="51">
        <f t="shared" si="89"/>
        <v>0</v>
      </c>
      <c r="BV35" s="51">
        <f t="shared" si="90"/>
        <v>0</v>
      </c>
    </row>
    <row r="36" spans="2:74" x14ac:dyDescent="0.25">
      <c r="AD36" t="s">
        <v>279</v>
      </c>
      <c r="AE36" t="s">
        <v>126</v>
      </c>
      <c r="AF36" t="s">
        <v>249</v>
      </c>
    </row>
    <row r="37" spans="2:74" ht="15.75" thickBot="1" x14ac:dyDescent="0.3">
      <c r="AC37" s="95" t="s">
        <v>278</v>
      </c>
      <c r="AD37" s="96">
        <f>SUM(AD24:AD35)</f>
        <v>7.5</v>
      </c>
      <c r="AE37" s="96">
        <f>MAX(AE24:AE35)</f>
        <v>1.5</v>
      </c>
      <c r="AF37" s="96">
        <f>MAX(AF24:AF35)</f>
        <v>0</v>
      </c>
      <c r="AG37" s="96">
        <f t="shared" ref="AG37" si="91">SUM(AG24:AG35)</f>
        <v>0</v>
      </c>
      <c r="AH37" s="96">
        <f t="shared" ref="AH37:AI37" si="92">MAX(AH24:AH35)</f>
        <v>2</v>
      </c>
      <c r="AI37" s="96">
        <f t="shared" si="92"/>
        <v>0</v>
      </c>
      <c r="AJ37" s="96">
        <f t="shared" ref="AJ37" si="93">SUM(AJ24:AJ35)</f>
        <v>15</v>
      </c>
      <c r="AK37" s="96">
        <f t="shared" ref="AK37:AL37" si="94">MAX(AK24:AK35)</f>
        <v>3</v>
      </c>
      <c r="AL37" s="96">
        <f t="shared" si="94"/>
        <v>0</v>
      </c>
      <c r="AM37" s="96">
        <f t="shared" ref="AM37" si="95">SUM(AM24:AM35)</f>
        <v>4.5</v>
      </c>
      <c r="AN37" s="96">
        <f t="shared" ref="AN37:AO37" si="96">MAX(AN24:AN35)</f>
        <v>1.5</v>
      </c>
      <c r="AO37" s="96">
        <f t="shared" si="96"/>
        <v>0</v>
      </c>
      <c r="AP37" s="96">
        <f t="shared" ref="AP37" si="97">SUM(AP24:AP35)</f>
        <v>28.5</v>
      </c>
      <c r="AQ37" s="96">
        <f t="shared" ref="AQ37:AR37" si="98">MAX(AQ24:AQ35)</f>
        <v>3</v>
      </c>
      <c r="AR37" s="96">
        <f t="shared" si="98"/>
        <v>0</v>
      </c>
      <c r="AS37" s="96">
        <f t="shared" ref="AS37" si="99">SUM(AS24:AS35)</f>
        <v>11.5</v>
      </c>
      <c r="AT37" s="96">
        <f t="shared" ref="AT37:AU37" si="100">MAX(AT24:AT35)</f>
        <v>3</v>
      </c>
      <c r="AU37" s="96">
        <f t="shared" si="100"/>
        <v>0</v>
      </c>
      <c r="AV37" s="96">
        <f t="shared" ref="AV37" si="101">SUM(AV24:AV35)</f>
        <v>0</v>
      </c>
      <c r="AW37" s="96">
        <f t="shared" ref="AW37:AX37" si="102">MAX(AW24:AW35)</f>
        <v>2</v>
      </c>
      <c r="AX37" s="96">
        <f t="shared" si="102"/>
        <v>0</v>
      </c>
      <c r="AY37" s="96">
        <f t="shared" ref="AY37" si="103">SUM(AY24:AY35)</f>
        <v>24.5</v>
      </c>
      <c r="AZ37" s="96">
        <f t="shared" ref="AZ37:BA37" si="104">MAX(AZ24:AZ35)</f>
        <v>3</v>
      </c>
      <c r="BA37" s="96">
        <f t="shared" si="104"/>
        <v>0</v>
      </c>
      <c r="BB37" s="96">
        <f t="shared" ref="BB37" si="105">SUM(BB24:BB35)</f>
        <v>0</v>
      </c>
      <c r="BC37" s="96">
        <f t="shared" ref="BC37:BD37" si="106">MAX(BC24:BC35)</f>
        <v>2</v>
      </c>
      <c r="BD37" s="96">
        <f t="shared" si="106"/>
        <v>0</v>
      </c>
      <c r="BE37" s="96">
        <f t="shared" ref="BE37" si="107">SUM(BE24:BE35)</f>
        <v>20.5</v>
      </c>
      <c r="BF37" s="96">
        <f t="shared" ref="BF37:BG37" si="108">MAX(BF24:BF35)</f>
        <v>3</v>
      </c>
      <c r="BG37" s="96">
        <f t="shared" si="108"/>
        <v>0</v>
      </c>
      <c r="BH37" s="96">
        <f t="shared" ref="BH37" si="109">SUM(BH24:BH35)</f>
        <v>32.5</v>
      </c>
      <c r="BI37" s="96">
        <f t="shared" ref="BI37:BJ37" si="110">MAX(BI24:BI35)</f>
        <v>3</v>
      </c>
      <c r="BJ37" s="96">
        <f t="shared" si="110"/>
        <v>0</v>
      </c>
      <c r="BK37" s="96">
        <f t="shared" ref="BK37" si="111">SUM(BK24:BK35)</f>
        <v>0</v>
      </c>
      <c r="BL37" s="96">
        <f t="shared" ref="BL37:BM37" si="112">MAX(BL24:BL35)</f>
        <v>2</v>
      </c>
      <c r="BM37" s="96">
        <f t="shared" si="112"/>
        <v>0</v>
      </c>
      <c r="BN37" s="96">
        <f t="shared" ref="BN37" si="113">SUM(BN24:BN35)</f>
        <v>12.5</v>
      </c>
      <c r="BO37" s="96">
        <f t="shared" ref="BO37:BP37" si="114">MAX(BO24:BO35)</f>
        <v>1.5</v>
      </c>
      <c r="BP37" s="96">
        <f t="shared" si="114"/>
        <v>0</v>
      </c>
      <c r="BQ37" s="96">
        <f t="shared" ref="BQ37" si="115">SUM(BQ24:BQ35)</f>
        <v>19.5</v>
      </c>
      <c r="BR37" s="96">
        <f t="shared" ref="BR37:BS37" si="116">MAX(BR24:BR35)</f>
        <v>3</v>
      </c>
      <c r="BS37" s="96">
        <f t="shared" si="116"/>
        <v>0</v>
      </c>
      <c r="BT37" s="96">
        <f t="shared" ref="BT37" si="117">SUM(BT24:BT35)</f>
        <v>5</v>
      </c>
      <c r="BU37" s="96">
        <f t="shared" ref="BU37:BV37" si="118">MAX(BU24:BU35)</f>
        <v>1.5</v>
      </c>
      <c r="BV37" s="96">
        <f t="shared" si="118"/>
        <v>0</v>
      </c>
    </row>
    <row r="39" spans="2:74" ht="15.75" thickBot="1" x14ac:dyDescent="0.3"/>
    <row r="40" spans="2:74" ht="15.75" thickBot="1" x14ac:dyDescent="0.3">
      <c r="C40" s="291" t="s">
        <v>268</v>
      </c>
      <c r="D40" s="292"/>
      <c r="E40" s="292"/>
      <c r="F40" s="292"/>
      <c r="G40" s="292"/>
      <c r="H40" s="293"/>
    </row>
    <row r="41" spans="2:74" ht="15.75" thickBot="1" x14ac:dyDescent="0.3">
      <c r="C41" s="54" t="s">
        <v>261</v>
      </c>
      <c r="D41" s="55" t="s">
        <v>262</v>
      </c>
      <c r="E41" s="55" t="s">
        <v>263</v>
      </c>
      <c r="F41" s="55" t="s">
        <v>264</v>
      </c>
      <c r="G41" s="55" t="s">
        <v>265</v>
      </c>
      <c r="H41" s="56" t="s">
        <v>266</v>
      </c>
      <c r="I41" s="67" t="s">
        <v>249</v>
      </c>
    </row>
    <row r="42" spans="2:74" x14ac:dyDescent="0.25">
      <c r="B42" s="209">
        <v>3</v>
      </c>
      <c r="C42" s="147"/>
      <c r="D42" s="148"/>
      <c r="E42" s="148"/>
      <c r="F42" s="148"/>
      <c r="G42" s="148">
        <v>27</v>
      </c>
      <c r="H42" s="149">
        <v>36</v>
      </c>
    </row>
    <row r="43" spans="2:74" x14ac:dyDescent="0.25">
      <c r="B43" s="210">
        <v>4</v>
      </c>
      <c r="C43" s="79"/>
      <c r="D43" s="80"/>
      <c r="E43" s="80"/>
      <c r="F43" s="80">
        <v>180</v>
      </c>
      <c r="G43" s="80">
        <v>240</v>
      </c>
      <c r="H43" s="82">
        <v>300</v>
      </c>
    </row>
    <row r="44" spans="2:74" x14ac:dyDescent="0.25">
      <c r="B44" s="210">
        <v>5</v>
      </c>
      <c r="C44" s="79"/>
      <c r="D44" s="80"/>
      <c r="E44" s="80">
        <v>380</v>
      </c>
      <c r="F44" s="80">
        <v>390</v>
      </c>
      <c r="G44" s="80">
        <v>480</v>
      </c>
      <c r="H44" s="82">
        <v>670</v>
      </c>
    </row>
    <row r="45" spans="2:74" x14ac:dyDescent="0.25">
      <c r="B45" s="210">
        <v>6</v>
      </c>
      <c r="C45" s="79"/>
      <c r="D45" s="80"/>
      <c r="E45" s="80">
        <v>600</v>
      </c>
      <c r="F45" s="80">
        <v>700</v>
      </c>
      <c r="G45" s="80">
        <v>840</v>
      </c>
      <c r="H45" s="82">
        <v>1300</v>
      </c>
    </row>
    <row r="46" spans="2:74" x14ac:dyDescent="0.25">
      <c r="B46" s="210">
        <v>8</v>
      </c>
      <c r="C46" s="79"/>
      <c r="D46" s="80">
        <v>1400</v>
      </c>
      <c r="E46" s="80">
        <v>1500</v>
      </c>
      <c r="F46" s="80">
        <v>1600</v>
      </c>
      <c r="G46" s="80">
        <v>2250</v>
      </c>
      <c r="H46" s="82">
        <v>3370</v>
      </c>
    </row>
    <row r="47" spans="2:74" x14ac:dyDescent="0.25">
      <c r="B47" s="210">
        <v>10</v>
      </c>
      <c r="C47" s="79"/>
      <c r="D47" s="80">
        <v>2500</v>
      </c>
      <c r="E47" s="80">
        <v>2700</v>
      </c>
      <c r="F47" s="80">
        <v>3000</v>
      </c>
      <c r="G47" s="80">
        <v>4500</v>
      </c>
      <c r="H47" s="82">
        <v>6500</v>
      </c>
    </row>
    <row r="48" spans="2:74" x14ac:dyDescent="0.25">
      <c r="B48" s="210">
        <v>12</v>
      </c>
      <c r="C48" s="79">
        <v>2240</v>
      </c>
      <c r="D48" s="80">
        <v>3900</v>
      </c>
      <c r="E48" s="80">
        <v>4500</v>
      </c>
      <c r="F48" s="80">
        <v>5400</v>
      </c>
      <c r="G48" s="80">
        <v>8300</v>
      </c>
      <c r="H48" s="82">
        <v>13000</v>
      </c>
    </row>
    <row r="49" spans="2:11" ht="15.75" thickBot="1" x14ac:dyDescent="0.3">
      <c r="B49" s="211">
        <v>15</v>
      </c>
      <c r="C49" s="142">
        <v>4800</v>
      </c>
      <c r="D49" s="87">
        <v>7000</v>
      </c>
      <c r="E49" s="87">
        <v>9300</v>
      </c>
      <c r="F49" s="87">
        <v>10400</v>
      </c>
      <c r="G49" s="87">
        <v>16300</v>
      </c>
      <c r="H49" s="219">
        <v>22500</v>
      </c>
    </row>
    <row r="50" spans="2:11" x14ac:dyDescent="0.25">
      <c r="B50" s="220" t="s">
        <v>267</v>
      </c>
      <c r="C50" s="148"/>
    </row>
    <row r="51" spans="2:11" ht="15.75" thickBot="1" x14ac:dyDescent="0.3"/>
    <row r="52" spans="2:11" ht="15.75" thickBot="1" x14ac:dyDescent="0.3">
      <c r="C52" s="234" t="s">
        <v>140</v>
      </c>
      <c r="D52" s="104">
        <v>176.6</v>
      </c>
      <c r="H52" s="228" t="s">
        <v>32</v>
      </c>
      <c r="I52" s="229" t="s">
        <v>267</v>
      </c>
      <c r="J52" s="230" t="s">
        <v>249</v>
      </c>
    </row>
    <row r="53" spans="2:11" x14ac:dyDescent="0.25">
      <c r="H53" s="235">
        <v>27</v>
      </c>
      <c r="I53" s="231" t="s">
        <v>253</v>
      </c>
      <c r="J53" s="170" t="s">
        <v>265</v>
      </c>
      <c r="K53" s="238"/>
    </row>
    <row r="54" spans="2:11" x14ac:dyDescent="0.25">
      <c r="H54" s="236">
        <v>36</v>
      </c>
      <c r="I54" s="232" t="s">
        <v>253</v>
      </c>
      <c r="J54" s="171" t="s">
        <v>266</v>
      </c>
      <c r="K54" s="238"/>
    </row>
    <row r="55" spans="2:11" x14ac:dyDescent="0.25">
      <c r="H55" s="236">
        <v>180</v>
      </c>
      <c r="I55" s="232" t="s">
        <v>254</v>
      </c>
      <c r="J55" s="171" t="s">
        <v>264</v>
      </c>
      <c r="K55" s="238"/>
    </row>
    <row r="56" spans="2:11" x14ac:dyDescent="0.25">
      <c r="H56" s="236">
        <v>240</v>
      </c>
      <c r="I56" s="232" t="s">
        <v>254</v>
      </c>
      <c r="J56" s="171" t="s">
        <v>265</v>
      </c>
      <c r="K56" s="238"/>
    </row>
    <row r="57" spans="2:11" x14ac:dyDescent="0.25">
      <c r="H57" s="236">
        <v>300</v>
      </c>
      <c r="I57" s="232" t="s">
        <v>254</v>
      </c>
      <c r="J57" s="171" t="s">
        <v>266</v>
      </c>
      <c r="K57" s="238"/>
    </row>
    <row r="58" spans="2:11" x14ac:dyDescent="0.25">
      <c r="H58" s="236">
        <v>380</v>
      </c>
      <c r="I58" s="232" t="s">
        <v>255</v>
      </c>
      <c r="J58" s="171" t="s">
        <v>263</v>
      </c>
      <c r="K58" s="238"/>
    </row>
    <row r="59" spans="2:11" x14ac:dyDescent="0.25">
      <c r="H59" s="236">
        <v>390</v>
      </c>
      <c r="I59" s="232" t="s">
        <v>255</v>
      </c>
      <c r="J59" s="171" t="s">
        <v>264</v>
      </c>
      <c r="K59" s="238"/>
    </row>
    <row r="60" spans="2:11" x14ac:dyDescent="0.25">
      <c r="H60" s="236">
        <v>480</v>
      </c>
      <c r="I60" s="232" t="s">
        <v>255</v>
      </c>
      <c r="J60" s="171" t="s">
        <v>265</v>
      </c>
      <c r="K60" s="238"/>
    </row>
    <row r="61" spans="2:11" x14ac:dyDescent="0.25">
      <c r="H61" s="236">
        <v>600</v>
      </c>
      <c r="I61" s="232" t="s">
        <v>256</v>
      </c>
      <c r="J61" s="171" t="s">
        <v>263</v>
      </c>
      <c r="K61" s="238"/>
    </row>
    <row r="62" spans="2:11" x14ac:dyDescent="0.25">
      <c r="H62" s="236">
        <v>670</v>
      </c>
      <c r="I62" s="232" t="s">
        <v>255</v>
      </c>
      <c r="J62" s="171" t="s">
        <v>266</v>
      </c>
      <c r="K62" s="238"/>
    </row>
    <row r="63" spans="2:11" x14ac:dyDescent="0.25">
      <c r="H63" s="236">
        <v>700</v>
      </c>
      <c r="I63" s="232" t="s">
        <v>256</v>
      </c>
      <c r="J63" s="171" t="s">
        <v>264</v>
      </c>
      <c r="K63" s="238"/>
    </row>
    <row r="64" spans="2:11" x14ac:dyDescent="0.25">
      <c r="H64" s="236">
        <v>840</v>
      </c>
      <c r="I64" s="232" t="s">
        <v>256</v>
      </c>
      <c r="J64" s="171" t="s">
        <v>265</v>
      </c>
      <c r="K64" s="238"/>
    </row>
    <row r="65" spans="8:11" x14ac:dyDescent="0.25">
      <c r="H65" s="236">
        <v>1300</v>
      </c>
      <c r="I65" s="232" t="s">
        <v>256</v>
      </c>
      <c r="J65" s="171" t="s">
        <v>266</v>
      </c>
      <c r="K65" s="238"/>
    </row>
    <row r="66" spans="8:11" x14ac:dyDescent="0.25">
      <c r="H66" s="236">
        <v>1400</v>
      </c>
      <c r="I66" s="232" t="s">
        <v>257</v>
      </c>
      <c r="J66" s="171" t="s">
        <v>262</v>
      </c>
      <c r="K66" s="238"/>
    </row>
    <row r="67" spans="8:11" x14ac:dyDescent="0.25">
      <c r="H67" s="236">
        <v>1500</v>
      </c>
      <c r="I67" s="232" t="s">
        <v>257</v>
      </c>
      <c r="J67" s="171" t="s">
        <v>263</v>
      </c>
      <c r="K67" s="238"/>
    </row>
    <row r="68" spans="8:11" x14ac:dyDescent="0.25">
      <c r="H68" s="236">
        <v>1600</v>
      </c>
      <c r="I68" s="232" t="s">
        <v>257</v>
      </c>
      <c r="J68" s="171" t="s">
        <v>264</v>
      </c>
      <c r="K68" s="238"/>
    </row>
    <row r="69" spans="8:11" x14ac:dyDescent="0.25">
      <c r="H69" s="236">
        <v>2240</v>
      </c>
      <c r="I69" s="232" t="s">
        <v>259</v>
      </c>
      <c r="J69" s="171" t="s">
        <v>261</v>
      </c>
      <c r="K69" s="238"/>
    </row>
    <row r="70" spans="8:11" x14ac:dyDescent="0.25">
      <c r="H70" s="236">
        <v>2250</v>
      </c>
      <c r="I70" s="232" t="s">
        <v>257</v>
      </c>
      <c r="J70" s="171" t="s">
        <v>265</v>
      </c>
      <c r="K70" s="238"/>
    </row>
    <row r="71" spans="8:11" x14ac:dyDescent="0.25">
      <c r="H71" s="236">
        <v>2500</v>
      </c>
      <c r="I71" s="232" t="s">
        <v>258</v>
      </c>
      <c r="J71" s="171" t="s">
        <v>262</v>
      </c>
      <c r="K71" s="238"/>
    </row>
    <row r="72" spans="8:11" x14ac:dyDescent="0.25">
      <c r="H72" s="236">
        <v>2700</v>
      </c>
      <c r="I72" s="232" t="s">
        <v>258</v>
      </c>
      <c r="J72" s="171" t="s">
        <v>263</v>
      </c>
      <c r="K72" s="238"/>
    </row>
    <row r="73" spans="8:11" x14ac:dyDescent="0.25">
      <c r="H73" s="236">
        <v>3000</v>
      </c>
      <c r="I73" s="232" t="s">
        <v>258</v>
      </c>
      <c r="J73" s="171" t="s">
        <v>264</v>
      </c>
      <c r="K73" s="238"/>
    </row>
    <row r="74" spans="8:11" x14ac:dyDescent="0.25">
      <c r="H74" s="236">
        <v>3370</v>
      </c>
      <c r="I74" s="232" t="s">
        <v>257</v>
      </c>
      <c r="J74" s="171" t="s">
        <v>266</v>
      </c>
      <c r="K74" s="238"/>
    </row>
    <row r="75" spans="8:11" x14ac:dyDescent="0.25">
      <c r="H75" s="236">
        <v>3900</v>
      </c>
      <c r="I75" s="232" t="s">
        <v>259</v>
      </c>
      <c r="J75" s="171" t="s">
        <v>262</v>
      </c>
      <c r="K75" s="238"/>
    </row>
    <row r="76" spans="8:11" x14ac:dyDescent="0.25">
      <c r="H76" s="236">
        <v>4500</v>
      </c>
      <c r="I76" s="232" t="s">
        <v>258</v>
      </c>
      <c r="J76" s="171" t="s">
        <v>265</v>
      </c>
      <c r="K76" s="238"/>
    </row>
    <row r="77" spans="8:11" x14ac:dyDescent="0.25">
      <c r="H77" s="236">
        <v>4500</v>
      </c>
      <c r="I77" s="232" t="s">
        <v>259</v>
      </c>
      <c r="J77" s="171" t="s">
        <v>263</v>
      </c>
      <c r="K77" s="238"/>
    </row>
    <row r="78" spans="8:11" x14ac:dyDescent="0.25">
      <c r="H78" s="236">
        <v>4800</v>
      </c>
      <c r="I78" s="232" t="s">
        <v>260</v>
      </c>
      <c r="J78" s="171" t="s">
        <v>261</v>
      </c>
      <c r="K78" s="238"/>
    </row>
    <row r="79" spans="8:11" x14ac:dyDescent="0.25">
      <c r="H79" s="236">
        <v>5400</v>
      </c>
      <c r="I79" s="232" t="s">
        <v>259</v>
      </c>
      <c r="J79" s="171" t="s">
        <v>264</v>
      </c>
      <c r="K79" s="238"/>
    </row>
    <row r="80" spans="8:11" x14ac:dyDescent="0.25">
      <c r="H80" s="236">
        <v>6500</v>
      </c>
      <c r="I80" s="232" t="s">
        <v>258</v>
      </c>
      <c r="J80" s="171" t="s">
        <v>266</v>
      </c>
      <c r="K80" s="238"/>
    </row>
    <row r="81" spans="8:11" x14ac:dyDescent="0.25">
      <c r="H81" s="236">
        <v>7000</v>
      </c>
      <c r="I81" s="232" t="s">
        <v>260</v>
      </c>
      <c r="J81" s="171" t="s">
        <v>262</v>
      </c>
      <c r="K81" s="238"/>
    </row>
    <row r="82" spans="8:11" x14ac:dyDescent="0.25">
      <c r="H82" s="236">
        <v>8300</v>
      </c>
      <c r="I82" s="232" t="s">
        <v>259</v>
      </c>
      <c r="J82" s="171" t="s">
        <v>265</v>
      </c>
      <c r="K82" s="238"/>
    </row>
    <row r="83" spans="8:11" x14ac:dyDescent="0.25">
      <c r="H83" s="236">
        <v>9300</v>
      </c>
      <c r="I83" s="232" t="s">
        <v>260</v>
      </c>
      <c r="J83" s="171" t="s">
        <v>263</v>
      </c>
      <c r="K83" s="238"/>
    </row>
    <row r="84" spans="8:11" x14ac:dyDescent="0.25">
      <c r="H84" s="236">
        <v>10400</v>
      </c>
      <c r="I84" s="232" t="s">
        <v>260</v>
      </c>
      <c r="J84" s="171" t="s">
        <v>264</v>
      </c>
      <c r="K84" s="238"/>
    </row>
    <row r="85" spans="8:11" x14ac:dyDescent="0.25">
      <c r="H85" s="236">
        <v>13000</v>
      </c>
      <c r="I85" s="232" t="s">
        <v>259</v>
      </c>
      <c r="J85" s="171" t="s">
        <v>266</v>
      </c>
      <c r="K85" s="238"/>
    </row>
    <row r="86" spans="8:11" x14ac:dyDescent="0.25">
      <c r="H86" s="236">
        <v>16300</v>
      </c>
      <c r="I86" s="232" t="s">
        <v>260</v>
      </c>
      <c r="J86" s="171" t="s">
        <v>265</v>
      </c>
      <c r="K86" s="238"/>
    </row>
    <row r="87" spans="8:11" ht="15.75" thickBot="1" x14ac:dyDescent="0.3">
      <c r="H87" s="237">
        <v>22500</v>
      </c>
      <c r="I87" s="233" t="s">
        <v>260</v>
      </c>
      <c r="J87" s="189" t="s">
        <v>266</v>
      </c>
      <c r="K87" s="238"/>
    </row>
  </sheetData>
  <mergeCells count="30">
    <mergeCell ref="X2:AC2"/>
    <mergeCell ref="AH2:AH3"/>
    <mergeCell ref="AG2:AG3"/>
    <mergeCell ref="AI2:AI3"/>
    <mergeCell ref="H2:U2"/>
    <mergeCell ref="H3:I3"/>
    <mergeCell ref="K3:L3"/>
    <mergeCell ref="N3:O3"/>
    <mergeCell ref="Q3:R3"/>
    <mergeCell ref="T3:U3"/>
    <mergeCell ref="H5:I5"/>
    <mergeCell ref="K5:L5"/>
    <mergeCell ref="D21:Z21"/>
    <mergeCell ref="AB22:AC22"/>
    <mergeCell ref="AD22:AF22"/>
    <mergeCell ref="BQ22:BS22"/>
    <mergeCell ref="BT22:BV22"/>
    <mergeCell ref="C40:H40"/>
    <mergeCell ref="AY22:BA22"/>
    <mergeCell ref="BB22:BD22"/>
    <mergeCell ref="BE22:BG22"/>
    <mergeCell ref="BH22:BJ22"/>
    <mergeCell ref="BK22:BM22"/>
    <mergeCell ref="BN22:BP22"/>
    <mergeCell ref="AG22:AI22"/>
    <mergeCell ref="AJ22:AL22"/>
    <mergeCell ref="AM22:AO22"/>
    <mergeCell ref="AP22:AR22"/>
    <mergeCell ref="AS22:AU22"/>
    <mergeCell ref="AV22:AX22"/>
  </mergeCells>
  <phoneticPr fontId="20" type="noConversion"/>
  <conditionalFormatting sqref="H53:H87">
    <cfRule type="expression" dxfId="0" priority="1">
      <formula>H53&lt;$D$52</formula>
    </cfRule>
  </conditionalFormatting>
  <dataValidations disablePrompts="1" count="2">
    <dataValidation type="list" allowBlank="1" showInputMessage="1" showErrorMessage="1" sqref="I6" xr:uid="{CACF5562-9577-49DC-A13D-9EF6CE42E5A5}">
      <formula1>"1"</formula1>
    </dataValidation>
    <dataValidation type="list" allowBlank="1" showInputMessage="1" showErrorMessage="1" sqref="J14" xr:uid="{2BB8424E-4830-460B-B31C-4FBBA620F057}">
      <formula1>A1:A6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73475-EF23-4C94-A02D-B0ABED3F313B}">
  <dimension ref="A1:Y36"/>
  <sheetViews>
    <sheetView topLeftCell="B1" workbookViewId="0">
      <selection activeCell="W20" sqref="W20"/>
    </sheetView>
  </sheetViews>
  <sheetFormatPr defaultRowHeight="15" x14ac:dyDescent="0.25"/>
  <cols>
    <col min="1" max="1" width="0" hidden="1" customWidth="1"/>
    <col min="4" max="4" width="9.85546875" customWidth="1"/>
  </cols>
  <sheetData>
    <row r="1" spans="1:25" x14ac:dyDescent="0.25">
      <c r="A1">
        <f>'Sanitary Pipes'!AD37</f>
        <v>7.5</v>
      </c>
    </row>
    <row r="2" spans="1:25" x14ac:dyDescent="0.25">
      <c r="A2">
        <f>'Sanitary Pipes'!AG37</f>
        <v>0</v>
      </c>
    </row>
    <row r="3" spans="1:25" ht="15.75" thickBot="1" x14ac:dyDescent="0.3">
      <c r="A3">
        <f>'Sanitary Pipes'!AJ37</f>
        <v>15</v>
      </c>
      <c r="D3" t="s">
        <v>238</v>
      </c>
      <c r="E3" t="s">
        <v>209</v>
      </c>
      <c r="F3" t="s">
        <v>210</v>
      </c>
      <c r="G3" s="288" t="s">
        <v>280</v>
      </c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288"/>
      <c r="S3" s="288"/>
      <c r="T3" s="288"/>
      <c r="V3" s="95" t="s">
        <v>137</v>
      </c>
      <c r="W3" t="s">
        <v>32</v>
      </c>
      <c r="X3" t="s">
        <v>0</v>
      </c>
      <c r="Y3" t="s">
        <v>126</v>
      </c>
    </row>
    <row r="4" spans="1:25" ht="15.75" thickBot="1" x14ac:dyDescent="0.3">
      <c r="A4">
        <f>'Sanitary Pipes'!AM37</f>
        <v>4.5</v>
      </c>
      <c r="D4" s="60">
        <v>1</v>
      </c>
      <c r="E4" s="129">
        <v>10</v>
      </c>
      <c r="F4" s="130">
        <v>6</v>
      </c>
      <c r="G4" s="120">
        <v>6</v>
      </c>
      <c r="H4" s="121">
        <v>10</v>
      </c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239"/>
      <c r="W4" s="222">
        <f t="shared" ref="W4:W18" si="0">SUM(E22:R22)</f>
        <v>32</v>
      </c>
      <c r="X4" s="223" t="e">
        <f>FORECAST(W4,INDEX($B$2:$B$44,MATCH(W4,$A$2:$A$44,1)):INDEX($B$2:$B$44,MATCH(W4,$A$2:$A$44,1)+1),INDEX($A$2:$A$44,MATCH(W4,$A$2:$A$44,1)):INDEX($A$2:$A$44,MATCH(W4,$A$2:$A$44,1)+1))</f>
        <v>#DIV/0!</v>
      </c>
      <c r="Y4" s="224" t="e">
        <f>IF(AND(X4&lt;=750,X4&gt;250),6,IF(AND(X4&lt;=250,X4&gt;120),4,IF(AND(X4&lt;=120,X4&gt;75),3,IF(AND(X4&lt;=75,X4&gt;40),2.5,IF(AND(X4&lt;=40,X4&gt;20),2,IF(AND(X4&lt;=20,X4&gt;14),1.5,IF(AND(X4&lt;=14,X4&gt;7),1.25,IF(AND(X4&lt;=7,X4&gt;3.5),1,IF(AND(X4&lt;=3.5,X4&gt;1.7),0.75,IF(AND(X4&lt;=1.7,X4&gt;0),0.5))))))))))</f>
        <v>#DIV/0!</v>
      </c>
    </row>
    <row r="5" spans="1:25" ht="15.75" thickBot="1" x14ac:dyDescent="0.3">
      <c r="A5">
        <f>'Sanitary Pipes'!AP37</f>
        <v>28.5</v>
      </c>
      <c r="D5" s="60">
        <v>2</v>
      </c>
      <c r="E5" s="131"/>
      <c r="F5" s="132"/>
      <c r="G5" s="123">
        <v>1</v>
      </c>
      <c r="H5" s="124">
        <v>3</v>
      </c>
      <c r="I5" s="124">
        <v>4</v>
      </c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4"/>
      <c r="U5" s="124"/>
      <c r="V5" s="80"/>
      <c r="W5" s="222">
        <f t="shared" si="0"/>
        <v>27</v>
      </c>
      <c r="X5" s="153" t="e">
        <f>FORECAST(W5,INDEX($B$2:$B$44,MATCH(W5,$A$2:$A$44,1)):INDEX($B$2:$B$44,MATCH(W5,$A$2:$A$44,1)+1),INDEX($A$2:$A$44,MATCH(W5,$A$2:$A$44,1)):INDEX($A$2:$A$44,MATCH(W5,$A$2:$A$44,1)+1))</f>
        <v>#DIV/0!</v>
      </c>
      <c r="Y5" s="225" t="e">
        <f t="shared" ref="Y5:Y18" si="1">IF(AND(X5&lt;=750,X5&gt;250),6,IF(AND(X5&lt;=250,X5&gt;120),4,IF(AND(X5&lt;=120,X5&gt;75),3,IF(AND(X5&lt;=75,X5&gt;40),2.5,IF(AND(X5&lt;=40,X5&gt;20),2,IF(AND(X5&lt;=20,X5&gt;14),1.5,IF(AND(X5&lt;=14,X5&gt;7),1.25,IF(AND(X5&lt;=7,X5&gt;3.5),1,IF(AND(X5&lt;=3.5,X5&gt;1.7),0.75,IF(AND(X5&lt;=1.7,X5&gt;0),0.5))))))))))</f>
        <v>#DIV/0!</v>
      </c>
    </row>
    <row r="6" spans="1:25" ht="15.75" thickBot="1" x14ac:dyDescent="0.3">
      <c r="A6">
        <f>'Sanitary Pipes'!AS37</f>
        <v>11.5</v>
      </c>
      <c r="D6" s="60">
        <v>3</v>
      </c>
      <c r="E6" s="131"/>
      <c r="F6" s="132"/>
      <c r="G6" s="126">
        <v>1</v>
      </c>
      <c r="H6" s="127">
        <v>3</v>
      </c>
      <c r="I6" s="127">
        <v>4</v>
      </c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80"/>
      <c r="W6" s="222">
        <f t="shared" si="0"/>
        <v>27</v>
      </c>
      <c r="X6" s="153" t="e">
        <f>FORECAST(W6,INDEX($B$2:$B$44,MATCH(W6,$A$2:$A$44,1)):INDEX($B$2:$B$44,MATCH(W6,$A$2:$A$44,1)+1),INDEX($A$2:$A$44,MATCH(W6,$A$2:$A$44,1)):INDEX($A$2:$A$44,MATCH(W6,$A$2:$A$44,1)+1))</f>
        <v>#DIV/0!</v>
      </c>
      <c r="Y6" s="225" t="e">
        <f t="shared" si="1"/>
        <v>#DIV/0!</v>
      </c>
    </row>
    <row r="7" spans="1:25" ht="15.75" thickBot="1" x14ac:dyDescent="0.3">
      <c r="A7">
        <f>'Sanitary Pipes'!AV37</f>
        <v>0</v>
      </c>
      <c r="D7" s="60">
        <v>4</v>
      </c>
      <c r="E7" s="131"/>
      <c r="F7" s="132"/>
      <c r="G7" s="123">
        <v>2</v>
      </c>
      <c r="H7" s="124">
        <v>7</v>
      </c>
      <c r="I7" s="124">
        <v>9</v>
      </c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4"/>
      <c r="U7" s="124"/>
      <c r="V7" s="80"/>
      <c r="W7" s="222">
        <f t="shared" si="0"/>
        <v>0</v>
      </c>
      <c r="X7" s="153" t="e">
        <f>FORECAST(W7,INDEX($B$2:$B$44,MATCH(W7,$A$2:$A$44,1)):INDEX($B$2:$B$44,MATCH(W7,$A$2:$A$44,1)+1),INDEX($A$2:$A$44,MATCH(W7,$A$2:$A$44,1)):INDEX($A$2:$A$44,MATCH(W7,$A$2:$A$44,1)+1))</f>
        <v>#DIV/0!</v>
      </c>
      <c r="Y7" s="225" t="e">
        <f t="shared" si="1"/>
        <v>#DIV/0!</v>
      </c>
    </row>
    <row r="8" spans="1:25" ht="15.75" thickBot="1" x14ac:dyDescent="0.3">
      <c r="A8">
        <f>'Sanitary Pipes'!AY37</f>
        <v>24.5</v>
      </c>
      <c r="D8" s="60">
        <v>5</v>
      </c>
      <c r="E8" s="131"/>
      <c r="F8" s="132"/>
      <c r="G8" s="126">
        <v>1</v>
      </c>
      <c r="H8" s="127">
        <v>2</v>
      </c>
      <c r="I8" s="127">
        <v>3</v>
      </c>
      <c r="J8" s="127">
        <v>4</v>
      </c>
      <c r="K8" s="127">
        <v>6</v>
      </c>
      <c r="L8" s="127">
        <v>9</v>
      </c>
      <c r="M8" s="127"/>
      <c r="N8" s="127"/>
      <c r="O8" s="127"/>
      <c r="P8" s="127"/>
      <c r="Q8" s="127"/>
      <c r="R8" s="127"/>
      <c r="S8" s="127"/>
      <c r="T8" s="127"/>
      <c r="U8" s="127"/>
      <c r="V8" s="80"/>
      <c r="W8" s="222">
        <f t="shared" si="0"/>
        <v>38.5</v>
      </c>
      <c r="X8" s="153" t="e">
        <f>FORECAST(W8,INDEX($B$2:$B$44,MATCH(W8,$A$2:$A$44,1)):INDEX($B$2:$B$44,MATCH(W8,$A$2:$A$44,1)+1),INDEX($A$2:$A$44,MATCH(W8,$A$2:$A$44,1)):INDEX($A$2:$A$44,MATCH(W8,$A$2:$A$44,1)+1))</f>
        <v>#DIV/0!</v>
      </c>
      <c r="Y8" s="225" t="e">
        <f t="shared" si="1"/>
        <v>#DIV/0!</v>
      </c>
    </row>
    <row r="9" spans="1:25" ht="15.75" thickBot="1" x14ac:dyDescent="0.3">
      <c r="A9">
        <f>'Sanitary Pipes'!BB37</f>
        <v>0</v>
      </c>
      <c r="D9" s="60">
        <v>6</v>
      </c>
      <c r="E9" s="131"/>
      <c r="F9" s="132"/>
      <c r="G9" s="123">
        <v>1</v>
      </c>
      <c r="H9" s="124">
        <v>2</v>
      </c>
      <c r="I9" s="124">
        <v>3</v>
      </c>
      <c r="J9" s="124">
        <v>4</v>
      </c>
      <c r="K9" s="124">
        <v>5</v>
      </c>
      <c r="L9" s="124">
        <v>6</v>
      </c>
      <c r="M9" s="124">
        <v>7</v>
      </c>
      <c r="N9" s="124">
        <v>9</v>
      </c>
      <c r="O9" s="124">
        <v>10</v>
      </c>
      <c r="P9" s="124"/>
      <c r="Q9" s="124"/>
      <c r="R9" s="124"/>
      <c r="S9" s="124"/>
      <c r="T9" s="124"/>
      <c r="U9" s="124"/>
      <c r="V9" s="80"/>
      <c r="W9" s="222">
        <f t="shared" si="0"/>
        <v>87.5</v>
      </c>
      <c r="X9" s="153" t="e">
        <f>FORECAST(W9,INDEX($B$2:$B$44,MATCH(W9,$A$2:$A$44,1)):INDEX($B$2:$B$44,MATCH(W9,$A$2:$A$44,1)+1),INDEX($A$2:$A$44,MATCH(W9,$A$2:$A$44,1)):INDEX($A$2:$A$44,MATCH(W9,$A$2:$A$44,1)+1))</f>
        <v>#DIV/0!</v>
      </c>
      <c r="Y9" s="225" t="e">
        <f t="shared" si="1"/>
        <v>#DIV/0!</v>
      </c>
    </row>
    <row r="10" spans="1:25" ht="15.75" thickBot="1" x14ac:dyDescent="0.3">
      <c r="A10">
        <f>'Sanitary Pipes'!BE37</f>
        <v>20.5</v>
      </c>
      <c r="D10" s="60">
        <v>7</v>
      </c>
      <c r="E10" s="131"/>
      <c r="F10" s="132"/>
      <c r="G10" s="126">
        <v>10</v>
      </c>
      <c r="H10" s="127">
        <v>11</v>
      </c>
      <c r="I10" s="127">
        <v>12</v>
      </c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80"/>
      <c r="W10" s="222">
        <f t="shared" si="0"/>
        <v>53</v>
      </c>
      <c r="X10" s="153" t="e">
        <f>FORECAST(W10,INDEX($B$2:$B$44,MATCH(W10,$A$2:$A$44,1)):INDEX($B$2:$B$44,MATCH(W10,$A$2:$A$44,1)+1),INDEX($A$2:$A$44,MATCH(W10,$A$2:$A$44,1)):INDEX($A$2:$A$44,MATCH(W10,$A$2:$A$44,1)+1))</f>
        <v>#DIV/0!</v>
      </c>
      <c r="Y10" s="225" t="e">
        <f t="shared" si="1"/>
        <v>#DIV/0!</v>
      </c>
    </row>
    <row r="11" spans="1:25" ht="15.75" thickBot="1" x14ac:dyDescent="0.3">
      <c r="A11">
        <f>'Sanitary Pipes'!BH37</f>
        <v>32.5</v>
      </c>
      <c r="D11" s="60">
        <v>8</v>
      </c>
      <c r="E11" s="131"/>
      <c r="F11" s="132"/>
      <c r="G11" s="123">
        <v>1</v>
      </c>
      <c r="H11" s="124">
        <v>2</v>
      </c>
      <c r="I11" s="124">
        <v>3</v>
      </c>
      <c r="J11" s="124">
        <v>4</v>
      </c>
      <c r="K11" s="124">
        <v>5</v>
      </c>
      <c r="L11" s="124">
        <v>6</v>
      </c>
      <c r="M11" s="124">
        <v>7</v>
      </c>
      <c r="N11" s="124">
        <v>9</v>
      </c>
      <c r="O11" s="124">
        <v>10</v>
      </c>
      <c r="P11" s="124">
        <v>11</v>
      </c>
      <c r="Q11" s="124">
        <v>12</v>
      </c>
      <c r="R11" s="124"/>
      <c r="S11" s="124"/>
      <c r="T11" s="124"/>
      <c r="U11" s="124"/>
      <c r="V11" s="80"/>
      <c r="W11" s="222">
        <f t="shared" si="0"/>
        <v>120</v>
      </c>
      <c r="X11" s="153" t="e">
        <f>FORECAST(W11,INDEX($B$2:$B$44,MATCH(W11,$A$2:$A$44,1)):INDEX($B$2:$B$44,MATCH(W11,$A$2:$A$44,1)+1),INDEX($A$2:$A$44,MATCH(W11,$A$2:$A$44,1)):INDEX($A$2:$A$44,MATCH(W11,$A$2:$A$44,1)+1))</f>
        <v>#DIV/0!</v>
      </c>
      <c r="Y11" s="225" t="e">
        <f t="shared" si="1"/>
        <v>#DIV/0!</v>
      </c>
    </row>
    <row r="12" spans="1:25" ht="15.75" thickBot="1" x14ac:dyDescent="0.3">
      <c r="A12">
        <f>'Sanitary Pipes'!BK37</f>
        <v>0</v>
      </c>
      <c r="D12" s="60">
        <v>9</v>
      </c>
      <c r="E12" s="131"/>
      <c r="F12" s="132"/>
      <c r="G12" s="126">
        <v>1</v>
      </c>
      <c r="H12" s="127">
        <v>2</v>
      </c>
      <c r="I12" s="127">
        <v>3</v>
      </c>
      <c r="J12" s="127">
        <v>4</v>
      </c>
      <c r="K12" s="127">
        <v>5</v>
      </c>
      <c r="L12" s="127">
        <v>6</v>
      </c>
      <c r="M12" s="127">
        <v>7</v>
      </c>
      <c r="N12" s="127">
        <v>8</v>
      </c>
      <c r="O12" s="127">
        <v>9</v>
      </c>
      <c r="P12" s="127">
        <v>10</v>
      </c>
      <c r="Q12" s="127">
        <v>11</v>
      </c>
      <c r="R12" s="127"/>
      <c r="S12" s="127"/>
      <c r="T12" s="127"/>
      <c r="U12" s="127"/>
      <c r="V12" s="80"/>
      <c r="W12" s="222">
        <f t="shared" si="0"/>
        <v>144.5</v>
      </c>
      <c r="X12" s="153" t="e">
        <f>FORECAST(W12,INDEX($B$2:$B$44,MATCH(W12,$A$2:$A$44,1)):INDEX($B$2:$B$44,MATCH(W12,$A$2:$A$44,1)+1),INDEX($A$2:$A$44,MATCH(W12,$A$2:$A$44,1)):INDEX($A$2:$A$44,MATCH(W12,$A$2:$A$44,1)+1))</f>
        <v>#DIV/0!</v>
      </c>
      <c r="Y12" s="225" t="e">
        <f t="shared" si="1"/>
        <v>#DIV/0!</v>
      </c>
    </row>
    <row r="13" spans="1:25" ht="15.75" thickBot="1" x14ac:dyDescent="0.3">
      <c r="A13">
        <f>'Sanitary Pipes'!BN37</f>
        <v>12.5</v>
      </c>
      <c r="D13" s="60">
        <v>10</v>
      </c>
      <c r="E13" s="131"/>
      <c r="F13" s="132"/>
      <c r="G13" s="123">
        <v>1</v>
      </c>
      <c r="H13" s="124">
        <v>2</v>
      </c>
      <c r="I13" s="124">
        <v>3</v>
      </c>
      <c r="J13" s="124">
        <v>4</v>
      </c>
      <c r="K13" s="124">
        <v>5</v>
      </c>
      <c r="L13" s="124">
        <v>6</v>
      </c>
      <c r="M13" s="124">
        <v>7</v>
      </c>
      <c r="N13" s="124">
        <v>8</v>
      </c>
      <c r="O13" s="124">
        <v>9</v>
      </c>
      <c r="P13" s="124">
        <v>10</v>
      </c>
      <c r="Q13" s="124">
        <v>11</v>
      </c>
      <c r="R13" s="124">
        <v>12</v>
      </c>
      <c r="S13" s="124">
        <v>13</v>
      </c>
      <c r="T13" s="124">
        <v>14</v>
      </c>
      <c r="U13" s="124">
        <v>15</v>
      </c>
      <c r="V13" s="80"/>
      <c r="W13" s="222">
        <f t="shared" si="0"/>
        <v>176.5</v>
      </c>
      <c r="X13" s="153" t="e">
        <f>FORECAST(W13,INDEX($B$2:$B$44,MATCH(W13,$A$2:$A$44,1)):INDEX($B$2:$B$44,MATCH(W13,$A$2:$A$44,1)+1),INDEX($A$2:$A$44,MATCH(W13,$A$2:$A$44,1)):INDEX($A$2:$A$44,MATCH(W13,$A$2:$A$44,1)+1))</f>
        <v>#DIV/0!</v>
      </c>
      <c r="Y13" s="225" t="e">
        <f t="shared" si="1"/>
        <v>#DIV/0!</v>
      </c>
    </row>
    <row r="14" spans="1:25" ht="15.75" thickBot="1" x14ac:dyDescent="0.3">
      <c r="A14">
        <f>'Sanitary Pipes'!BQ37</f>
        <v>19.5</v>
      </c>
      <c r="D14" s="60">
        <v>11</v>
      </c>
      <c r="E14" s="131"/>
      <c r="F14" s="132"/>
      <c r="G14" s="126"/>
      <c r="H14" s="127"/>
      <c r="I14" s="127"/>
      <c r="J14" s="127"/>
      <c r="K14" s="127"/>
      <c r="L14" s="127"/>
      <c r="M14" s="127"/>
      <c r="N14" s="127"/>
      <c r="O14" s="127"/>
      <c r="P14" s="127"/>
      <c r="Q14" s="127"/>
      <c r="R14" s="127"/>
      <c r="S14" s="127"/>
      <c r="T14" s="127"/>
      <c r="U14" s="127"/>
      <c r="V14" s="80"/>
      <c r="W14" s="222">
        <f t="shared" si="0"/>
        <v>0</v>
      </c>
      <c r="X14" s="153" t="e">
        <f>FORECAST(W14,INDEX($B$2:$B$44,MATCH(W14,$A$2:$A$44,1)):INDEX($B$2:$B$44,MATCH(W14,$A$2:$A$44,1)+1),INDEX($A$2:$A$44,MATCH(W14,$A$2:$A$44,1)):INDEX($A$2:$A$44,MATCH(W14,$A$2:$A$44,1)+1))</f>
        <v>#DIV/0!</v>
      </c>
      <c r="Y14" s="225" t="e">
        <f t="shared" si="1"/>
        <v>#DIV/0!</v>
      </c>
    </row>
    <row r="15" spans="1:25" ht="15.75" thickBot="1" x14ac:dyDescent="0.3">
      <c r="A15">
        <f>'Sanitary Pipes'!BT37</f>
        <v>5</v>
      </c>
      <c r="D15" s="60">
        <v>12</v>
      </c>
      <c r="E15" s="131"/>
      <c r="F15" s="132"/>
      <c r="G15" s="123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80"/>
      <c r="W15" s="222">
        <f t="shared" si="0"/>
        <v>0</v>
      </c>
      <c r="X15" s="153" t="e">
        <f>FORECAST(W15,INDEX($B$2:$B$44,MATCH(W15,$A$2:$A$44,1)):INDEX($B$2:$B$44,MATCH(W15,$A$2:$A$44,1)+1),INDEX($A$2:$A$44,MATCH(W15,$A$2:$A$44,1)):INDEX($A$2:$A$44,MATCH(W15,$A$2:$A$44,1)+1))</f>
        <v>#DIV/0!</v>
      </c>
      <c r="Y15" s="225" t="e">
        <f t="shared" si="1"/>
        <v>#DIV/0!</v>
      </c>
    </row>
    <row r="16" spans="1:25" ht="15.75" thickBot="1" x14ac:dyDescent="0.3">
      <c r="D16" s="60">
        <v>13</v>
      </c>
      <c r="E16" s="131"/>
      <c r="F16" s="132"/>
      <c r="G16" s="126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80"/>
      <c r="W16" s="222">
        <f t="shared" si="0"/>
        <v>0</v>
      </c>
      <c r="X16" s="153" t="e">
        <f>FORECAST(W16,INDEX($B$2:$B$44,MATCH(W16,$A$2:$A$44,1)):INDEX($B$2:$B$44,MATCH(W16,$A$2:$A$44,1)+1),INDEX($A$2:$A$44,MATCH(W16,$A$2:$A$44,1)):INDEX($A$2:$A$44,MATCH(W16,$A$2:$A$44,1)+1))</f>
        <v>#DIV/0!</v>
      </c>
      <c r="Y16" s="225" t="e">
        <f t="shared" si="1"/>
        <v>#DIV/0!</v>
      </c>
    </row>
    <row r="17" spans="4:25" ht="15.75" thickBot="1" x14ac:dyDescent="0.3">
      <c r="D17" s="60">
        <v>14</v>
      </c>
      <c r="E17" s="131"/>
      <c r="F17" s="132"/>
      <c r="G17" s="123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80"/>
      <c r="W17" s="222">
        <f t="shared" si="0"/>
        <v>0</v>
      </c>
      <c r="X17" s="153" t="e">
        <f>FORECAST(W17,INDEX($B$2:$B$44,MATCH(W17,$A$2:$A$44,1)):INDEX($B$2:$B$44,MATCH(W17,$A$2:$A$44,1)+1),INDEX($A$2:$A$44,MATCH(W17,$A$2:$A$44,1)):INDEX($A$2:$A$44,MATCH(W17,$A$2:$A$44,1)+1))</f>
        <v>#DIV/0!</v>
      </c>
      <c r="Y17" s="225" t="e">
        <f t="shared" si="1"/>
        <v>#DIV/0!</v>
      </c>
    </row>
    <row r="18" spans="4:25" ht="15.75" thickBot="1" x14ac:dyDescent="0.3">
      <c r="D18" s="60">
        <v>15</v>
      </c>
      <c r="E18" s="131"/>
      <c r="F18" s="132"/>
      <c r="G18" s="126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80"/>
      <c r="W18" s="222">
        <f t="shared" si="0"/>
        <v>0</v>
      </c>
      <c r="X18" s="226" t="e">
        <f>FORECAST(W18,INDEX($B$2:$B$44,MATCH(W18,$A$2:$A$44,1)):INDEX($B$2:$B$44,MATCH(W18,$A$2:$A$44,1)+1),INDEX($A$2:$A$44,MATCH(W18,$A$2:$A$44,1)):INDEX($A$2:$A$44,MATCH(W18,$A$2:$A$44,1)+1))</f>
        <v>#DIV/0!</v>
      </c>
      <c r="Y18" s="227" t="e">
        <f t="shared" si="1"/>
        <v>#DIV/0!</v>
      </c>
    </row>
    <row r="20" spans="4:25" x14ac:dyDescent="0.25">
      <c r="E20" s="80"/>
      <c r="F20" s="80"/>
    </row>
    <row r="21" spans="4:25" x14ac:dyDescent="0.25">
      <c r="D21" s="290" t="s">
        <v>176</v>
      </c>
      <c r="E21" s="290"/>
      <c r="F21" s="290"/>
      <c r="G21" s="290"/>
      <c r="H21" s="290"/>
      <c r="I21" s="290"/>
      <c r="J21" s="290"/>
      <c r="K21" s="290"/>
      <c r="L21" s="290"/>
      <c r="M21" s="290"/>
      <c r="N21" s="290"/>
      <c r="O21" s="290"/>
      <c r="P21" s="290"/>
      <c r="Q21" s="290"/>
      <c r="R21" s="290"/>
    </row>
    <row r="22" spans="4:25" x14ac:dyDescent="0.25">
      <c r="D22" s="60" t="s">
        <v>141</v>
      </c>
      <c r="E22" s="126">
        <f>IF(G4=1,$A$1,IF(G4=2,$A$2,IF(G4=3,$A$3,IF(G4=4,$A$4,IF(G4=5,$A$5,IF(G4=6,$A$6,IF(G4=7,$A$7,IF(G4=8,$A$8,IF(G4=9,$A$9,IF(G4=10,$A$10,IF(G4=11,$A$11,IF(G4=12,$A$12,IF(G4=13,$A$13,IF(G4=14,$A$14,IF(G4=15,$A$15,0)))))))))))))))</f>
        <v>11.5</v>
      </c>
      <c r="F22" s="126">
        <f t="shared" ref="F22:S22" si="2">IF(H4=1,$A$1,IF(H4=2,$A$2,IF(H4=3,$A$3,IF(H4=4,$A$4,IF(H4=5,$A$5,IF(H4=6,$A$6,IF(H4=7,$A$7,IF(H4=8,$A$8,IF(H4=9,$A$9,IF(H4=10,$A$10,IF(H4=11,$A$11,IF(H4=12,$A$12,IF(H4=13,$A$13,IF(H4=14,$A$14,IF(H4=15,$A$15,0)))))))))))))))</f>
        <v>20.5</v>
      </c>
      <c r="G22" s="126">
        <f t="shared" si="2"/>
        <v>0</v>
      </c>
      <c r="H22" s="126">
        <f t="shared" si="2"/>
        <v>0</v>
      </c>
      <c r="I22" s="126">
        <f t="shared" si="2"/>
        <v>0</v>
      </c>
      <c r="J22" s="126">
        <f t="shared" si="2"/>
        <v>0</v>
      </c>
      <c r="K22" s="126">
        <f t="shared" si="2"/>
        <v>0</v>
      </c>
      <c r="L22" s="126">
        <f t="shared" si="2"/>
        <v>0</v>
      </c>
      <c r="M22" s="126">
        <f t="shared" si="2"/>
        <v>0</v>
      </c>
      <c r="N22" s="126">
        <f t="shared" si="2"/>
        <v>0</v>
      </c>
      <c r="O22" s="126">
        <f t="shared" si="2"/>
        <v>0</v>
      </c>
      <c r="P22" s="126">
        <f t="shared" si="2"/>
        <v>0</v>
      </c>
      <c r="Q22" s="126">
        <f t="shared" si="2"/>
        <v>0</v>
      </c>
      <c r="R22" s="126">
        <f t="shared" si="2"/>
        <v>0</v>
      </c>
      <c r="S22" s="126">
        <f t="shared" si="2"/>
        <v>0</v>
      </c>
    </row>
    <row r="23" spans="4:25" x14ac:dyDescent="0.25">
      <c r="D23" s="60" t="s">
        <v>142</v>
      </c>
      <c r="E23" s="126">
        <f t="shared" ref="E23:E36" si="3">IF(G5=1,$A$1,IF(G5=2,$A$2,IF(G5=3,$A$3,IF(G5=4,$A$4,IF(G5=5,$A$5,IF(G5=6,$A$6,IF(G5=7,$A$7,IF(G5=8,$A$8,IF(G5=9,$A$9,IF(G5=10,$A$10,IF(G5=11,$A$11,IF(G5=12,$A$12,IF(G5=13,$A$13,IF(G5=14,$A$14,IF(G5=15,$A$15,0)))))))))))))))</f>
        <v>7.5</v>
      </c>
      <c r="F23" s="126">
        <f t="shared" ref="F23:F36" si="4">IF(H5=1,$A$1,IF(H5=2,$A$2,IF(H5=3,$A$3,IF(H5=4,$A$4,IF(H5=5,$A$5,IF(H5=6,$A$6,IF(H5=7,$A$7,IF(H5=8,$A$8,IF(H5=9,$A$9,IF(H5=10,$A$10,IF(H5=11,$A$11,IF(H5=12,$A$12,IF(H5=13,$A$13,IF(H5=14,$A$14,IF(H5=15,$A$15,0)))))))))))))))</f>
        <v>15</v>
      </c>
      <c r="G23" s="126">
        <f t="shared" ref="G23:G36" si="5">IF(I5=1,$A$1,IF(I5=2,$A$2,IF(I5=3,$A$3,IF(I5=4,$A$4,IF(I5=5,$A$5,IF(I5=6,$A$6,IF(I5=7,$A$7,IF(I5=8,$A$8,IF(I5=9,$A$9,IF(I5=10,$A$10,IF(I5=11,$A$11,IF(I5=12,$A$12,IF(I5=13,$A$13,IF(I5=14,$A$14,IF(I5=15,$A$15,0)))))))))))))))</f>
        <v>4.5</v>
      </c>
      <c r="H23" s="126">
        <f t="shared" ref="H23:H36" si="6">IF(J5=1,$A$1,IF(J5=2,$A$2,IF(J5=3,$A$3,IF(J5=4,$A$4,IF(J5=5,$A$5,IF(J5=6,$A$6,IF(J5=7,$A$7,IF(J5=8,$A$8,IF(J5=9,$A$9,IF(J5=10,$A$10,IF(J5=11,$A$11,IF(J5=12,$A$12,IF(J5=13,$A$13,IF(J5=14,$A$14,IF(J5=15,$A$15,0)))))))))))))))</f>
        <v>0</v>
      </c>
      <c r="I23" s="126">
        <f t="shared" ref="I23:I36" si="7">IF(K5=1,$A$1,IF(K5=2,$A$2,IF(K5=3,$A$3,IF(K5=4,$A$4,IF(K5=5,$A$5,IF(K5=6,$A$6,IF(K5=7,$A$7,IF(K5=8,$A$8,IF(K5=9,$A$9,IF(K5=10,$A$10,IF(K5=11,$A$11,IF(K5=12,$A$12,IF(K5=13,$A$13,IF(K5=14,$A$14,IF(K5=15,$A$15,0)))))))))))))))</f>
        <v>0</v>
      </c>
      <c r="J23" s="126">
        <f t="shared" ref="J23:J36" si="8">IF(L5=1,$A$1,IF(L5=2,$A$2,IF(L5=3,$A$3,IF(L5=4,$A$4,IF(L5=5,$A$5,IF(L5=6,$A$6,IF(L5=7,$A$7,IF(L5=8,$A$8,IF(L5=9,$A$9,IF(L5=10,$A$10,IF(L5=11,$A$11,IF(L5=12,$A$12,IF(L5=13,$A$13,IF(L5=14,$A$14,IF(L5=15,$A$15,0)))))))))))))))</f>
        <v>0</v>
      </c>
      <c r="K23" s="126">
        <f t="shared" ref="K23:K36" si="9">IF(M5=1,$A$1,IF(M5=2,$A$2,IF(M5=3,$A$3,IF(M5=4,$A$4,IF(M5=5,$A$5,IF(M5=6,$A$6,IF(M5=7,$A$7,IF(M5=8,$A$8,IF(M5=9,$A$9,IF(M5=10,$A$10,IF(M5=11,$A$11,IF(M5=12,$A$12,IF(M5=13,$A$13,IF(M5=14,$A$14,IF(M5=15,$A$15,0)))))))))))))))</f>
        <v>0</v>
      </c>
      <c r="L23" s="126">
        <f t="shared" ref="L23:L36" si="10">IF(N5=1,$A$1,IF(N5=2,$A$2,IF(N5=3,$A$3,IF(N5=4,$A$4,IF(N5=5,$A$5,IF(N5=6,$A$6,IF(N5=7,$A$7,IF(N5=8,$A$8,IF(N5=9,$A$9,IF(N5=10,$A$10,IF(N5=11,$A$11,IF(N5=12,$A$12,IF(N5=13,$A$13,IF(N5=14,$A$14,IF(N5=15,$A$15,0)))))))))))))))</f>
        <v>0</v>
      </c>
      <c r="M23" s="126">
        <f t="shared" ref="M23:M36" si="11">IF(O5=1,$A$1,IF(O5=2,$A$2,IF(O5=3,$A$3,IF(O5=4,$A$4,IF(O5=5,$A$5,IF(O5=6,$A$6,IF(O5=7,$A$7,IF(O5=8,$A$8,IF(O5=9,$A$9,IF(O5=10,$A$10,IF(O5=11,$A$11,IF(O5=12,$A$12,IF(O5=13,$A$13,IF(O5=14,$A$14,IF(O5=15,$A$15,0)))))))))))))))</f>
        <v>0</v>
      </c>
      <c r="N23" s="126">
        <f t="shared" ref="N23:N36" si="12">IF(P5=1,$A$1,IF(P5=2,$A$2,IF(P5=3,$A$3,IF(P5=4,$A$4,IF(P5=5,$A$5,IF(P5=6,$A$6,IF(P5=7,$A$7,IF(P5=8,$A$8,IF(P5=9,$A$9,IF(P5=10,$A$10,IF(P5=11,$A$11,IF(P5=12,$A$12,IF(P5=13,$A$13,IF(P5=14,$A$14,IF(P5=15,$A$15,0)))))))))))))))</f>
        <v>0</v>
      </c>
      <c r="O23" s="126">
        <f t="shared" ref="O23:O36" si="13">IF(Q5=1,$A$1,IF(Q5=2,$A$2,IF(Q5=3,$A$3,IF(Q5=4,$A$4,IF(Q5=5,$A$5,IF(Q5=6,$A$6,IF(Q5=7,$A$7,IF(Q5=8,$A$8,IF(Q5=9,$A$9,IF(Q5=10,$A$10,IF(Q5=11,$A$11,IF(Q5=12,$A$12,IF(Q5=13,$A$13,IF(Q5=14,$A$14,IF(Q5=15,$A$15,0)))))))))))))))</f>
        <v>0</v>
      </c>
      <c r="P23" s="126">
        <f t="shared" ref="P23:P36" si="14">IF(R5=1,$A$1,IF(R5=2,$A$2,IF(R5=3,$A$3,IF(R5=4,$A$4,IF(R5=5,$A$5,IF(R5=6,$A$6,IF(R5=7,$A$7,IF(R5=8,$A$8,IF(R5=9,$A$9,IF(R5=10,$A$10,IF(R5=11,$A$11,IF(R5=12,$A$12,IF(R5=13,$A$13,IF(R5=14,$A$14,IF(R5=15,$A$15,0)))))))))))))))</f>
        <v>0</v>
      </c>
      <c r="Q23" s="126">
        <f t="shared" ref="Q23:Q36" si="15">IF(S5=1,$A$1,IF(S5=2,$A$2,IF(S5=3,$A$3,IF(S5=4,$A$4,IF(S5=5,$A$5,IF(S5=6,$A$6,IF(S5=7,$A$7,IF(S5=8,$A$8,IF(S5=9,$A$9,IF(S5=10,$A$10,IF(S5=11,$A$11,IF(S5=12,$A$12,IF(S5=13,$A$13,IF(S5=14,$A$14,IF(S5=15,$A$15,0)))))))))))))))</f>
        <v>0</v>
      </c>
      <c r="R23" s="126">
        <f t="shared" ref="R23:S36" si="16">IF(T5=1,$A$1,IF(T5=2,$A$2,IF(T5=3,$A$3,IF(T5=4,$A$4,IF(T5=5,$A$5,IF(T5=6,$A$6,IF(T5=7,$A$7,IF(T5=8,$A$8,IF(T5=9,$A$9,IF(T5=10,$A$10,IF(T5=11,$A$11,IF(T5=12,$A$12,IF(T5=13,$A$13,IF(T5=14,$A$14,IF(T5=15,$A$15,0)))))))))))))))</f>
        <v>0</v>
      </c>
      <c r="S23" s="126">
        <f t="shared" si="16"/>
        <v>0</v>
      </c>
    </row>
    <row r="24" spans="4:25" x14ac:dyDescent="0.25">
      <c r="D24" s="60" t="s">
        <v>143</v>
      </c>
      <c r="E24" s="126">
        <f t="shared" si="3"/>
        <v>7.5</v>
      </c>
      <c r="F24" s="126">
        <f t="shared" si="4"/>
        <v>15</v>
      </c>
      <c r="G24" s="126">
        <f t="shared" si="5"/>
        <v>4.5</v>
      </c>
      <c r="H24" s="126">
        <f t="shared" si="6"/>
        <v>0</v>
      </c>
      <c r="I24" s="126">
        <f t="shared" si="7"/>
        <v>0</v>
      </c>
      <c r="J24" s="126">
        <f t="shared" si="8"/>
        <v>0</v>
      </c>
      <c r="K24" s="126">
        <f t="shared" si="9"/>
        <v>0</v>
      </c>
      <c r="L24" s="126">
        <f t="shared" si="10"/>
        <v>0</v>
      </c>
      <c r="M24" s="126">
        <f t="shared" si="11"/>
        <v>0</v>
      </c>
      <c r="N24" s="126">
        <f t="shared" si="12"/>
        <v>0</v>
      </c>
      <c r="O24" s="126">
        <f t="shared" si="13"/>
        <v>0</v>
      </c>
      <c r="P24" s="126">
        <f t="shared" si="14"/>
        <v>0</v>
      </c>
      <c r="Q24" s="126">
        <f t="shared" si="15"/>
        <v>0</v>
      </c>
      <c r="R24" s="126">
        <f t="shared" si="16"/>
        <v>0</v>
      </c>
      <c r="S24" s="126">
        <f t="shared" si="16"/>
        <v>0</v>
      </c>
    </row>
    <row r="25" spans="4:25" x14ac:dyDescent="0.25">
      <c r="D25" s="60" t="s">
        <v>144</v>
      </c>
      <c r="E25" s="126">
        <f t="shared" si="3"/>
        <v>0</v>
      </c>
      <c r="F25" s="126">
        <f t="shared" si="4"/>
        <v>0</v>
      </c>
      <c r="G25" s="126">
        <f t="shared" si="5"/>
        <v>0</v>
      </c>
      <c r="H25" s="126">
        <f t="shared" si="6"/>
        <v>0</v>
      </c>
      <c r="I25" s="126">
        <f t="shared" si="7"/>
        <v>0</v>
      </c>
      <c r="J25" s="126">
        <f t="shared" si="8"/>
        <v>0</v>
      </c>
      <c r="K25" s="126">
        <f t="shared" si="9"/>
        <v>0</v>
      </c>
      <c r="L25" s="126">
        <f t="shared" si="10"/>
        <v>0</v>
      </c>
      <c r="M25" s="126">
        <f t="shared" si="11"/>
        <v>0</v>
      </c>
      <c r="N25" s="126">
        <f t="shared" si="12"/>
        <v>0</v>
      </c>
      <c r="O25" s="126">
        <f t="shared" si="13"/>
        <v>0</v>
      </c>
      <c r="P25" s="126">
        <f t="shared" si="14"/>
        <v>0</v>
      </c>
      <c r="Q25" s="126">
        <f t="shared" si="15"/>
        <v>0</v>
      </c>
      <c r="R25" s="126">
        <f t="shared" si="16"/>
        <v>0</v>
      </c>
      <c r="S25" s="126">
        <f t="shared" si="16"/>
        <v>0</v>
      </c>
    </row>
    <row r="26" spans="4:25" x14ac:dyDescent="0.25">
      <c r="D26" s="60" t="s">
        <v>145</v>
      </c>
      <c r="E26" s="126">
        <f t="shared" si="3"/>
        <v>7.5</v>
      </c>
      <c r="F26" s="126">
        <f t="shared" si="4"/>
        <v>0</v>
      </c>
      <c r="G26" s="126">
        <f t="shared" si="5"/>
        <v>15</v>
      </c>
      <c r="H26" s="126">
        <f t="shared" si="6"/>
        <v>4.5</v>
      </c>
      <c r="I26" s="126">
        <f t="shared" si="7"/>
        <v>11.5</v>
      </c>
      <c r="J26" s="126">
        <f t="shared" si="8"/>
        <v>0</v>
      </c>
      <c r="K26" s="126">
        <f t="shared" si="9"/>
        <v>0</v>
      </c>
      <c r="L26" s="126">
        <f t="shared" si="10"/>
        <v>0</v>
      </c>
      <c r="M26" s="126">
        <f t="shared" si="11"/>
        <v>0</v>
      </c>
      <c r="N26" s="126">
        <f t="shared" si="12"/>
        <v>0</v>
      </c>
      <c r="O26" s="126">
        <f t="shared" si="13"/>
        <v>0</v>
      </c>
      <c r="P26" s="126">
        <f t="shared" si="14"/>
        <v>0</v>
      </c>
      <c r="Q26" s="126">
        <f t="shared" si="15"/>
        <v>0</v>
      </c>
      <c r="R26" s="126">
        <f t="shared" si="16"/>
        <v>0</v>
      </c>
      <c r="S26" s="126">
        <f t="shared" si="16"/>
        <v>0</v>
      </c>
    </row>
    <row r="27" spans="4:25" x14ac:dyDescent="0.25">
      <c r="D27" s="60" t="s">
        <v>146</v>
      </c>
      <c r="E27" s="126">
        <f t="shared" si="3"/>
        <v>7.5</v>
      </c>
      <c r="F27" s="126">
        <f t="shared" si="4"/>
        <v>0</v>
      </c>
      <c r="G27" s="126">
        <f t="shared" si="5"/>
        <v>15</v>
      </c>
      <c r="H27" s="126">
        <f t="shared" si="6"/>
        <v>4.5</v>
      </c>
      <c r="I27" s="126">
        <f t="shared" si="7"/>
        <v>28.5</v>
      </c>
      <c r="J27" s="126">
        <f t="shared" si="8"/>
        <v>11.5</v>
      </c>
      <c r="K27" s="126">
        <f t="shared" si="9"/>
        <v>0</v>
      </c>
      <c r="L27" s="126">
        <f t="shared" si="10"/>
        <v>0</v>
      </c>
      <c r="M27" s="126">
        <f t="shared" si="11"/>
        <v>20.5</v>
      </c>
      <c r="N27" s="126">
        <f t="shared" si="12"/>
        <v>0</v>
      </c>
      <c r="O27" s="126">
        <f t="shared" si="13"/>
        <v>0</v>
      </c>
      <c r="P27" s="126">
        <f t="shared" si="14"/>
        <v>0</v>
      </c>
      <c r="Q27" s="126">
        <f t="shared" si="15"/>
        <v>0</v>
      </c>
      <c r="R27" s="126">
        <f t="shared" si="16"/>
        <v>0</v>
      </c>
      <c r="S27" s="126">
        <f t="shared" si="16"/>
        <v>0</v>
      </c>
    </row>
    <row r="28" spans="4:25" x14ac:dyDescent="0.25">
      <c r="D28" s="60" t="s">
        <v>147</v>
      </c>
      <c r="E28" s="126">
        <f t="shared" si="3"/>
        <v>20.5</v>
      </c>
      <c r="F28" s="126">
        <f t="shared" si="4"/>
        <v>32.5</v>
      </c>
      <c r="G28" s="126">
        <f t="shared" si="5"/>
        <v>0</v>
      </c>
      <c r="H28" s="126">
        <f t="shared" si="6"/>
        <v>0</v>
      </c>
      <c r="I28" s="126">
        <f t="shared" si="7"/>
        <v>0</v>
      </c>
      <c r="J28" s="126">
        <f t="shared" si="8"/>
        <v>0</v>
      </c>
      <c r="K28" s="126">
        <f t="shared" si="9"/>
        <v>0</v>
      </c>
      <c r="L28" s="126">
        <f t="shared" si="10"/>
        <v>0</v>
      </c>
      <c r="M28" s="126">
        <f t="shared" si="11"/>
        <v>0</v>
      </c>
      <c r="N28" s="126">
        <f t="shared" si="12"/>
        <v>0</v>
      </c>
      <c r="O28" s="126">
        <f t="shared" si="13"/>
        <v>0</v>
      </c>
      <c r="P28" s="126">
        <f t="shared" si="14"/>
        <v>0</v>
      </c>
      <c r="Q28" s="126">
        <f t="shared" si="15"/>
        <v>0</v>
      </c>
      <c r="R28" s="126">
        <f t="shared" si="16"/>
        <v>0</v>
      </c>
      <c r="S28" s="126">
        <f t="shared" si="16"/>
        <v>0</v>
      </c>
    </row>
    <row r="29" spans="4:25" x14ac:dyDescent="0.25">
      <c r="D29" s="60" t="s">
        <v>148</v>
      </c>
      <c r="E29" s="126">
        <f t="shared" si="3"/>
        <v>7.5</v>
      </c>
      <c r="F29" s="126">
        <f t="shared" si="4"/>
        <v>0</v>
      </c>
      <c r="G29" s="126">
        <f t="shared" si="5"/>
        <v>15</v>
      </c>
      <c r="H29" s="126">
        <f t="shared" si="6"/>
        <v>4.5</v>
      </c>
      <c r="I29" s="126">
        <f t="shared" si="7"/>
        <v>28.5</v>
      </c>
      <c r="J29" s="126">
        <f t="shared" si="8"/>
        <v>11.5</v>
      </c>
      <c r="K29" s="126">
        <f t="shared" si="9"/>
        <v>0</v>
      </c>
      <c r="L29" s="126">
        <f t="shared" si="10"/>
        <v>0</v>
      </c>
      <c r="M29" s="126">
        <f t="shared" si="11"/>
        <v>20.5</v>
      </c>
      <c r="N29" s="126">
        <f t="shared" si="12"/>
        <v>32.5</v>
      </c>
      <c r="O29" s="126">
        <f t="shared" si="13"/>
        <v>0</v>
      </c>
      <c r="P29" s="126">
        <f t="shared" si="14"/>
        <v>0</v>
      </c>
      <c r="Q29" s="126">
        <f t="shared" si="15"/>
        <v>0</v>
      </c>
      <c r="R29" s="126">
        <f t="shared" si="16"/>
        <v>0</v>
      </c>
      <c r="S29" s="126">
        <f t="shared" si="16"/>
        <v>0</v>
      </c>
    </row>
    <row r="30" spans="4:25" x14ac:dyDescent="0.25">
      <c r="D30" s="60" t="s">
        <v>149</v>
      </c>
      <c r="E30" s="126">
        <f t="shared" si="3"/>
        <v>7.5</v>
      </c>
      <c r="F30" s="126">
        <f t="shared" si="4"/>
        <v>0</v>
      </c>
      <c r="G30" s="126">
        <f t="shared" si="5"/>
        <v>15</v>
      </c>
      <c r="H30" s="126">
        <f t="shared" si="6"/>
        <v>4.5</v>
      </c>
      <c r="I30" s="126">
        <f t="shared" si="7"/>
        <v>28.5</v>
      </c>
      <c r="J30" s="126">
        <f t="shared" si="8"/>
        <v>11.5</v>
      </c>
      <c r="K30" s="126">
        <f t="shared" si="9"/>
        <v>0</v>
      </c>
      <c r="L30" s="126">
        <f t="shared" si="10"/>
        <v>24.5</v>
      </c>
      <c r="M30" s="126">
        <f t="shared" si="11"/>
        <v>0</v>
      </c>
      <c r="N30" s="126">
        <f t="shared" si="12"/>
        <v>20.5</v>
      </c>
      <c r="O30" s="126">
        <f t="shared" si="13"/>
        <v>32.5</v>
      </c>
      <c r="P30" s="126">
        <f t="shared" si="14"/>
        <v>0</v>
      </c>
      <c r="Q30" s="126">
        <f t="shared" si="15"/>
        <v>0</v>
      </c>
      <c r="R30" s="126">
        <f t="shared" si="16"/>
        <v>0</v>
      </c>
      <c r="S30" s="126">
        <f t="shared" si="16"/>
        <v>0</v>
      </c>
    </row>
    <row r="31" spans="4:25" x14ac:dyDescent="0.25">
      <c r="D31" s="60" t="s">
        <v>150</v>
      </c>
      <c r="E31" s="126">
        <f t="shared" si="3"/>
        <v>7.5</v>
      </c>
      <c r="F31" s="126">
        <f t="shared" si="4"/>
        <v>0</v>
      </c>
      <c r="G31" s="126">
        <f t="shared" si="5"/>
        <v>15</v>
      </c>
      <c r="H31" s="126">
        <f t="shared" si="6"/>
        <v>4.5</v>
      </c>
      <c r="I31" s="126">
        <f t="shared" si="7"/>
        <v>28.5</v>
      </c>
      <c r="J31" s="126">
        <f t="shared" si="8"/>
        <v>11.5</v>
      </c>
      <c r="K31" s="126">
        <f t="shared" si="9"/>
        <v>0</v>
      </c>
      <c r="L31" s="126">
        <f t="shared" si="10"/>
        <v>24.5</v>
      </c>
      <c r="M31" s="126">
        <f t="shared" si="11"/>
        <v>0</v>
      </c>
      <c r="N31" s="126">
        <f t="shared" si="12"/>
        <v>20.5</v>
      </c>
      <c r="O31" s="126">
        <f t="shared" si="13"/>
        <v>32.5</v>
      </c>
      <c r="P31" s="126">
        <f t="shared" si="14"/>
        <v>0</v>
      </c>
      <c r="Q31" s="126">
        <f t="shared" si="15"/>
        <v>12.5</v>
      </c>
      <c r="R31" s="126">
        <f t="shared" si="16"/>
        <v>19.5</v>
      </c>
      <c r="S31" s="126">
        <f t="shared" si="16"/>
        <v>5</v>
      </c>
    </row>
    <row r="32" spans="4:25" x14ac:dyDescent="0.25">
      <c r="D32" s="60" t="s">
        <v>151</v>
      </c>
      <c r="E32" s="126">
        <f t="shared" si="3"/>
        <v>0</v>
      </c>
      <c r="F32" s="126">
        <f t="shared" si="4"/>
        <v>0</v>
      </c>
      <c r="G32" s="126">
        <f t="shared" si="5"/>
        <v>0</v>
      </c>
      <c r="H32" s="126">
        <f t="shared" si="6"/>
        <v>0</v>
      </c>
      <c r="I32" s="126">
        <f t="shared" si="7"/>
        <v>0</v>
      </c>
      <c r="J32" s="126">
        <f t="shared" si="8"/>
        <v>0</v>
      </c>
      <c r="K32" s="126">
        <f t="shared" si="9"/>
        <v>0</v>
      </c>
      <c r="L32" s="126">
        <f t="shared" si="10"/>
        <v>0</v>
      </c>
      <c r="M32" s="126">
        <f t="shared" si="11"/>
        <v>0</v>
      </c>
      <c r="N32" s="126">
        <f t="shared" si="12"/>
        <v>0</v>
      </c>
      <c r="O32" s="126">
        <f t="shared" si="13"/>
        <v>0</v>
      </c>
      <c r="P32" s="126">
        <f t="shared" si="14"/>
        <v>0</v>
      </c>
      <c r="Q32" s="126">
        <f t="shared" si="15"/>
        <v>0</v>
      </c>
      <c r="R32" s="126">
        <f t="shared" si="16"/>
        <v>0</v>
      </c>
      <c r="S32" s="126">
        <f t="shared" si="16"/>
        <v>0</v>
      </c>
    </row>
    <row r="33" spans="4:19" x14ac:dyDescent="0.25">
      <c r="D33" s="60" t="s">
        <v>152</v>
      </c>
      <c r="E33" s="126">
        <f t="shared" si="3"/>
        <v>0</v>
      </c>
      <c r="F33" s="126">
        <f t="shared" si="4"/>
        <v>0</v>
      </c>
      <c r="G33" s="126">
        <f t="shared" si="5"/>
        <v>0</v>
      </c>
      <c r="H33" s="126">
        <f t="shared" si="6"/>
        <v>0</v>
      </c>
      <c r="I33" s="126">
        <f t="shared" si="7"/>
        <v>0</v>
      </c>
      <c r="J33" s="126">
        <f t="shared" si="8"/>
        <v>0</v>
      </c>
      <c r="K33" s="126">
        <f t="shared" si="9"/>
        <v>0</v>
      </c>
      <c r="L33" s="126">
        <f t="shared" si="10"/>
        <v>0</v>
      </c>
      <c r="M33" s="126">
        <f t="shared" si="11"/>
        <v>0</v>
      </c>
      <c r="N33" s="126">
        <f t="shared" si="12"/>
        <v>0</v>
      </c>
      <c r="O33" s="126">
        <f t="shared" si="13"/>
        <v>0</v>
      </c>
      <c r="P33" s="126">
        <f t="shared" si="14"/>
        <v>0</v>
      </c>
      <c r="Q33" s="126">
        <f t="shared" si="15"/>
        <v>0</v>
      </c>
      <c r="R33" s="126">
        <f t="shared" si="16"/>
        <v>0</v>
      </c>
      <c r="S33" s="126">
        <f t="shared" si="16"/>
        <v>0</v>
      </c>
    </row>
    <row r="34" spans="4:19" x14ac:dyDescent="0.25">
      <c r="D34" s="60" t="s">
        <v>153</v>
      </c>
      <c r="E34" s="126">
        <f t="shared" si="3"/>
        <v>0</v>
      </c>
      <c r="F34" s="126">
        <f t="shared" si="4"/>
        <v>0</v>
      </c>
      <c r="G34" s="126">
        <f t="shared" si="5"/>
        <v>0</v>
      </c>
      <c r="H34" s="126">
        <f t="shared" si="6"/>
        <v>0</v>
      </c>
      <c r="I34" s="126">
        <f t="shared" si="7"/>
        <v>0</v>
      </c>
      <c r="J34" s="126">
        <f t="shared" si="8"/>
        <v>0</v>
      </c>
      <c r="K34" s="126">
        <f t="shared" si="9"/>
        <v>0</v>
      </c>
      <c r="L34" s="126">
        <f t="shared" si="10"/>
        <v>0</v>
      </c>
      <c r="M34" s="126">
        <f t="shared" si="11"/>
        <v>0</v>
      </c>
      <c r="N34" s="126">
        <f t="shared" si="12"/>
        <v>0</v>
      </c>
      <c r="O34" s="126">
        <f t="shared" si="13"/>
        <v>0</v>
      </c>
      <c r="P34" s="126">
        <f t="shared" si="14"/>
        <v>0</v>
      </c>
      <c r="Q34" s="126">
        <f t="shared" si="15"/>
        <v>0</v>
      </c>
      <c r="R34" s="126">
        <f t="shared" si="16"/>
        <v>0</v>
      </c>
      <c r="S34" s="126">
        <f t="shared" si="16"/>
        <v>0</v>
      </c>
    </row>
    <row r="35" spans="4:19" x14ac:dyDescent="0.25">
      <c r="D35" s="221" t="s">
        <v>154</v>
      </c>
      <c r="E35" s="126">
        <f t="shared" si="3"/>
        <v>0</v>
      </c>
      <c r="F35" s="126">
        <f t="shared" si="4"/>
        <v>0</v>
      </c>
      <c r="G35" s="126">
        <f t="shared" si="5"/>
        <v>0</v>
      </c>
      <c r="H35" s="126">
        <f t="shared" si="6"/>
        <v>0</v>
      </c>
      <c r="I35" s="126">
        <f t="shared" si="7"/>
        <v>0</v>
      </c>
      <c r="J35" s="126">
        <f t="shared" si="8"/>
        <v>0</v>
      </c>
      <c r="K35" s="126">
        <f t="shared" si="9"/>
        <v>0</v>
      </c>
      <c r="L35" s="126">
        <f t="shared" si="10"/>
        <v>0</v>
      </c>
      <c r="M35" s="126">
        <f t="shared" si="11"/>
        <v>0</v>
      </c>
      <c r="N35" s="126">
        <f t="shared" si="12"/>
        <v>0</v>
      </c>
      <c r="O35" s="126">
        <f t="shared" si="13"/>
        <v>0</v>
      </c>
      <c r="P35" s="126">
        <f t="shared" si="14"/>
        <v>0</v>
      </c>
      <c r="Q35" s="126">
        <f t="shared" si="15"/>
        <v>0</v>
      </c>
      <c r="R35" s="126">
        <f t="shared" si="16"/>
        <v>0</v>
      </c>
      <c r="S35" s="126">
        <f t="shared" si="16"/>
        <v>0</v>
      </c>
    </row>
    <row r="36" spans="4:19" x14ac:dyDescent="0.25">
      <c r="D36" s="221" t="s">
        <v>155</v>
      </c>
      <c r="E36" s="126">
        <f t="shared" si="3"/>
        <v>0</v>
      </c>
      <c r="F36" s="126">
        <f t="shared" si="4"/>
        <v>0</v>
      </c>
      <c r="G36" s="126">
        <f t="shared" si="5"/>
        <v>0</v>
      </c>
      <c r="H36" s="126">
        <f t="shared" si="6"/>
        <v>0</v>
      </c>
      <c r="I36" s="126">
        <f t="shared" si="7"/>
        <v>0</v>
      </c>
      <c r="J36" s="126">
        <f t="shared" si="8"/>
        <v>0</v>
      </c>
      <c r="K36" s="126">
        <f t="shared" si="9"/>
        <v>0</v>
      </c>
      <c r="L36" s="126">
        <f t="shared" si="10"/>
        <v>0</v>
      </c>
      <c r="M36" s="126">
        <f t="shared" si="11"/>
        <v>0</v>
      </c>
      <c r="N36" s="126">
        <f t="shared" si="12"/>
        <v>0</v>
      </c>
      <c r="O36" s="126">
        <f t="shared" si="13"/>
        <v>0</v>
      </c>
      <c r="P36" s="126">
        <f t="shared" si="14"/>
        <v>0</v>
      </c>
      <c r="Q36" s="126">
        <f t="shared" si="15"/>
        <v>0</v>
      </c>
      <c r="R36" s="126">
        <f t="shared" si="16"/>
        <v>0</v>
      </c>
      <c r="S36" s="126">
        <f t="shared" si="16"/>
        <v>0</v>
      </c>
    </row>
  </sheetData>
  <mergeCells count="2">
    <mergeCell ref="D21:R21"/>
    <mergeCell ref="G3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Building Information</vt:lpstr>
      <vt:lpstr>Domestic Water</vt:lpstr>
      <vt:lpstr>FU Distribution</vt:lpstr>
      <vt:lpstr>Riser Calculation</vt:lpstr>
      <vt:lpstr>Horizontal Pipes Calcs</vt:lpstr>
      <vt:lpstr>Pipe Drawings</vt:lpstr>
      <vt:lpstr>Sanitary Pipes</vt:lpstr>
      <vt:lpstr>Sanitary Horizontal Pipe Calcs</vt:lpstr>
    </vt:vector>
  </TitlesOfParts>
  <Company>Stantec Consulting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Amanda Lynch</dc:creator>
  <cp:lastModifiedBy>Alexandre Porter</cp:lastModifiedBy>
  <cp:lastPrinted>2020-11-04T21:57:05Z</cp:lastPrinted>
  <dcterms:created xsi:type="dcterms:W3CDTF">2011-09-26T14:49:51Z</dcterms:created>
  <dcterms:modified xsi:type="dcterms:W3CDTF">2021-11-30T19:04:47Z</dcterms:modified>
</cp:coreProperties>
</file>